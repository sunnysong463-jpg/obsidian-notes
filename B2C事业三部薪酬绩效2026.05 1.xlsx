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绩效4.13" sheetId="1" r:id="rId1"/>
    <sheet name="刘娇" sheetId="7" r:id="rId2"/>
    <sheet name="张鸽" sheetId="6" r:id="rId3"/>
    <sheet name="宋慧" sheetId="5" r:id="rId4"/>
    <sheet name="秦佳琦" sheetId="4" r:id="rId5"/>
    <sheet name="月度奖金评定标准" sheetId="2" r:id="rId6"/>
    <sheet name="年终奖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<sst xmlns="http://schemas.openxmlformats.org/spreadsheetml/2006/main" count="450" uniqueCount="123">
  <si>
    <t>B2C事业三部绩效考核表</t>
  </si>
  <si>
    <t>得分合计：</t>
  </si>
  <si>
    <t>岗位：</t>
  </si>
  <si>
    <t>姓名：</t>
  </si>
  <si>
    <t>月份：</t>
  </si>
  <si>
    <t>KPI项目</t>
  </si>
  <si>
    <t>衡量标准</t>
  </si>
  <si>
    <t>权重
分值</t>
  </si>
  <si>
    <t>KPI目标</t>
  </si>
  <si>
    <t>实际完成值</t>
  </si>
  <si>
    <t>数据采集来源</t>
  </si>
  <si>
    <t>数据来源部门</t>
  </si>
  <si>
    <t>采集时间</t>
  </si>
  <si>
    <t>结果</t>
  </si>
  <si>
    <t>来源评价</t>
  </si>
  <si>
    <t>acos</t>
  </si>
  <si>
    <t>核算公式：广告花费/广告销售额
取值四舍五入，如ACOS高于32%，本考核项为0分</t>
  </si>
  <si>
    <t>31%-32%</t>
  </si>
  <si>
    <t>29%-30%</t>
  </si>
  <si>
    <t>25%-28%</t>
  </si>
  <si>
    <t>低于25%</t>
  </si>
  <si>
    <t>亚马逊后台</t>
  </si>
  <si>
    <t>事业三部</t>
  </si>
  <si>
    <t>月底</t>
  </si>
  <si>
    <t>acoas（广告花费占比）</t>
  </si>
  <si>
    <t>核算公式：广告花费/净销售额
达成值四舍五入，取整数
如广告花费占比高于20%，本考核项为0分</t>
  </si>
  <si>
    <t>19%-20%</t>
  </si>
  <si>
    <t>18%-19%</t>
  </si>
  <si>
    <t>17%-18%</t>
  </si>
  <si>
    <t>低于17%</t>
  </si>
  <si>
    <t>领星</t>
  </si>
  <si>
    <t>利润同比增长</t>
  </si>
  <si>
    <t>核算公式：（当期结算利润-去年同期结算利润）/去年同期结算利润,去年同期利润不足$3000，需在$3000基础增长，如增长低于10%，本考核项0分</t>
  </si>
  <si>
    <t>10%-15%</t>
  </si>
  <si>
    <t>16%-20%</t>
  </si>
  <si>
    <t>25%-30%</t>
  </si>
  <si>
    <t>高于31%</t>
  </si>
  <si>
    <t>FBA超龄库存占比</t>
  </si>
  <si>
    <t>核算公式：271+库存数/负责款式总库存数，如占比大于10%，本考核项为0分</t>
  </si>
  <si>
    <t>7%-10%</t>
  </si>
  <si>
    <t>4%-6%</t>
  </si>
  <si>
    <t>0%-3%</t>
  </si>
  <si>
    <t>其他：绩效表推迟提交/天</t>
  </si>
  <si>
    <t>扣绩效考核分</t>
  </si>
  <si>
    <t>最终得分</t>
  </si>
  <si>
    <t>考核签字：</t>
  </si>
  <si>
    <t>考核者：</t>
  </si>
  <si>
    <t>被考核者：</t>
  </si>
  <si>
    <t>备注：1.绩效考核总分值100分，绩效得分权重＝考评得分/100*100%</t>
  </si>
  <si>
    <t xml:space="preserve">      2.扣分说明：
绩效考核须在4号前提交，每延迟1天提交个人扣1分；延迟3天个人扣6分，以此类推，延迟5天及以上当月绩效为0。</t>
  </si>
  <si>
    <t xml:space="preserve">      3.月度绩效奖金金额为1500元作为正激励，总分值低于80分，无绩效奖金，总分值大于等于80分且利润超过$3000，绩效奖金核算公式=
绩效奖金金额*（绩效得分/100）</t>
  </si>
  <si>
    <t xml:space="preserve">      4.月度绩效得分大于等于80分，且利润增长大于等于16%有资格参与月度奖金评定，月度奖金评定参考月度奖金评定标准。</t>
  </si>
  <si>
    <t xml:space="preserve">      5.累计3个月绩效得分低于80分，视为岗位不胜任，发不胜任通知，进入培训观察期，培训观察期结束后，累计两个月绩效得分低于80分，
解除劳动关系</t>
  </si>
  <si>
    <t>B2C事业三部绩效考核表2026</t>
  </si>
  <si>
    <t>运营</t>
  </si>
  <si>
    <t>刘娇</t>
  </si>
  <si>
    <t>月份：5</t>
  </si>
  <si>
    <t>销售额同比增长</t>
  </si>
  <si>
    <t>21%-25%</t>
  </si>
  <si>
    <t>26%-30%</t>
  </si>
  <si>
    <t>31%-35%</t>
  </si>
  <si>
    <t>36%-40%</t>
  </si>
  <si>
    <t>41%-45%</t>
  </si>
  <si>
    <t>46%-50%</t>
  </si>
  <si>
    <t>利润基数</t>
  </si>
  <si>
    <t>系数</t>
  </si>
  <si>
    <t>0.3</t>
  </si>
  <si>
    <t>奖金</t>
  </si>
  <si>
    <t>净销售额同比</t>
  </si>
  <si>
    <t>张鸽</t>
  </si>
  <si>
    <t>宋慧</t>
  </si>
  <si>
    <t>净销售额</t>
  </si>
  <si>
    <t>秦佳琦</t>
  </si>
  <si>
    <t>工作
模块</t>
  </si>
  <si>
    <t>考核结果</t>
  </si>
  <si>
    <t>扣分级
0.8</t>
  </si>
  <si>
    <t>扣分级
0.9</t>
  </si>
  <si>
    <t>基本级
1</t>
  </si>
  <si>
    <t>正常级
1.1</t>
  </si>
  <si>
    <t>挑战级
1.2</t>
  </si>
  <si>
    <t>上级评价</t>
  </si>
  <si>
    <t>平均分值</t>
  </si>
  <si>
    <t>销售收入</t>
  </si>
  <si>
    <t>销售收入增长率达成率</t>
  </si>
  <si>
    <t>(2026年实际销售收入/2025年销售收入)-1
低于0.8级，本项分值为0
2025年成人店销售收入￥26605028
增长率低于32%，本项分值为0</t>
  </si>
  <si>
    <t>32%≤X≤35%</t>
  </si>
  <si>
    <t>36%≤X≤39%</t>
  </si>
  <si>
    <t>40%≤X≤43%</t>
  </si>
  <si>
    <t>44%≤X≤47%</t>
  </si>
  <si>
    <t>X≥48%</t>
  </si>
  <si>
    <t>财务报表</t>
  </si>
  <si>
    <t>财务部</t>
  </si>
  <si>
    <t>年底</t>
  </si>
  <si>
    <t>库存健康度</t>
  </si>
  <si>
    <t>年度库存周转率</t>
  </si>
  <si>
    <t>(B2C成品销售出库/B2C成品全链路平均库存)，低于0.8级，本项分值为0</t>
  </si>
  <si>
    <t>0.85＜-≤1</t>
  </si>
  <si>
    <t>1＜-≤1.19</t>
  </si>
  <si>
    <t xml:space="preserve"> 1.2＜-≤1.3次</t>
  </si>
  <si>
    <t>1.3＜-≤1.4次</t>
  </si>
  <si>
    <t>&gt; 1.4 次</t>
  </si>
  <si>
    <t>利润率</t>
  </si>
  <si>
    <t>净利润率</t>
  </si>
  <si>
    <t>财务核算报表对应的净利率，低于0.8级，本项分值为0</t>
  </si>
  <si>
    <t>部门绩效得分</t>
  </si>
  <si>
    <t>小于80分</t>
  </si>
  <si>
    <t>小于90分</t>
  </si>
  <si>
    <t>90分</t>
  </si>
  <si>
    <t>100分</t>
  </si>
  <si>
    <t>110分</t>
  </si>
  <si>
    <t>120分</t>
  </si>
  <si>
    <t>年终奖</t>
  </si>
  <si>
    <t>第一名</t>
  </si>
  <si>
    <t>职级工资</t>
  </si>
  <si>
    <t>不变</t>
  </si>
  <si>
    <t>第二名</t>
  </si>
  <si>
    <t>第三名</t>
  </si>
  <si>
    <t>备注：1.部门业绩指标达成为部门年终奖的必要条件：库存健康度和利润率是必要条件，同时销售收入增长最低32%</t>
  </si>
  <si>
    <t xml:space="preserve">      2.本人利润年增长率大于等于20%，和销售额年增长率大于等于32%，同时满足条件，则有年终奖资格</t>
  </si>
  <si>
    <t xml:space="preserve">      3.年终奖排名按照业绩贡献排名，</t>
  </si>
  <si>
    <t xml:space="preserve">      4.职级工资按照上述标准提高</t>
  </si>
  <si>
    <t>时间：</t>
  </si>
  <si>
    <t>2026.3.31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</si>
</sst>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8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9" fontId="2" fillId="0" borderId="1" xfId="0" applyNumberFormat="1" applyFont="1" applyFill="1" applyBorder="1" applyAlignment="1">
      <alignment horizontal="left" vertical="center" wrapText="1"/>
    </xf>
    <xf numFmtId="9" fontId="2" fillId="0" borderId="2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4" fontId="0" fillId="0" borderId="1" xfId="0" applyNumberFormat="1" applyFont="1" applyFill="1" applyBorder="1" applyAlignment="1" applyProtection="1">
      <alignment horizontal="center" vertical="center"/>
    </xf>
    <xf numFmtId="24" fontId="0" fillId="0" borderId="1" xfId="0" applyNumberForma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10" fontId="2" fillId="0" borderId="0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0" fontId="1" fillId="3" borderId="10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0" fontId="1" fillId="3" borderId="1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9" fontId="0" fillId="0" borderId="1" xfId="0" applyNumberForma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right" vertical="center"/>
    </xf>
    <xf numFmtId="10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10" fontId="2" fillId="0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10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  <xf numFmtId="10" fontId="3" fillId="0" borderId="0" xfId="0" applyNumberFormat="1" applyFont="1" applyFill="1" applyBorder="1" applyAlignment="1" applyProtection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20</xdr:col>
      <xdr:colOff>608965</xdr:colOff>
      <xdr:row>54</xdr:row>
      <xdr:rowOff>82550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946900"/>
          <a:ext cx="17745075" cy="828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20</xdr:col>
      <xdr:colOff>408940</xdr:colOff>
      <xdr:row>53</xdr:row>
      <xdr:rowOff>82550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946900"/>
          <a:ext cx="17554575" cy="811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20</xdr:col>
      <xdr:colOff>475615</xdr:colOff>
      <xdr:row>53</xdr:row>
      <xdr:rowOff>120650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946900"/>
          <a:ext cx="17583150" cy="815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21</xdr:col>
      <xdr:colOff>18415</xdr:colOff>
      <xdr:row>56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226300"/>
          <a:ext cx="17706975" cy="834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3.5"/>
  <cols>
    <col min="1" max="1" width="11.5083333333333" style="42" customWidth="1"/>
    <col min="2" max="2" width="30.625" style="42" customWidth="1"/>
    <col min="3" max="3" width="7.125" style="42" customWidth="1"/>
    <col min="4" max="7" width="8" style="42" customWidth="1"/>
    <col min="8" max="8" width="8" style="44" customWidth="1"/>
    <col min="9" max="10" width="8" style="42" customWidth="1"/>
    <col min="11" max="12" width="7.125" style="42" customWidth="1"/>
    <col min="13" max="13" width="39.875" style="42" customWidth="1"/>
    <col min="14" max="16381" width="9" style="42"/>
    <col min="16382" max="16384" width="9" style="45"/>
  </cols>
  <sheetData>
    <row r="1" s="42" customFormat="1" ht="23" customHeight="1" spans="1:12">
      <c r="A1" s="46" t="s">
        <v>0</v>
      </c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</row>
    <row r="2" s="42" customFormat="1" ht="23" customHeight="1" spans="1:12">
      <c r="A2" s="49"/>
      <c r="B2" s="50" t="s">
        <v>1</v>
      </c>
      <c r="C2" s="49"/>
      <c r="D2" s="49"/>
      <c r="E2" s="49"/>
      <c r="F2" s="49"/>
      <c r="G2" s="49"/>
      <c r="H2" s="51" t="s">
        <v>2</v>
      </c>
      <c r="I2" s="81"/>
      <c r="J2" s="82" t="s">
        <v>3</v>
      </c>
      <c r="K2" s="49"/>
      <c r="L2" s="49" t="s">
        <v>4</v>
      </c>
    </row>
    <row r="3" s="36" customFormat="1" ht="23" customHeight="1" spans="1:12">
      <c r="A3" s="52" t="s">
        <v>5</v>
      </c>
      <c r="B3" s="53" t="s">
        <v>6</v>
      </c>
      <c r="C3" s="54" t="s">
        <v>7</v>
      </c>
      <c r="D3" s="55" t="s">
        <v>8</v>
      </c>
      <c r="E3" s="56"/>
      <c r="F3" s="56"/>
      <c r="G3" s="57"/>
      <c r="H3" s="58" t="s">
        <v>9</v>
      </c>
      <c r="I3" s="60" t="s">
        <v>10</v>
      </c>
      <c r="J3" s="54" t="s">
        <v>11</v>
      </c>
      <c r="K3" s="54" t="s">
        <v>12</v>
      </c>
      <c r="L3" s="52" t="s">
        <v>13</v>
      </c>
    </row>
    <row r="4" s="36" customFormat="1" ht="23" customHeight="1" spans="1:12">
      <c r="A4" s="52"/>
      <c r="B4" s="59"/>
      <c r="C4" s="59"/>
      <c r="D4" s="60">
        <v>0.8</v>
      </c>
      <c r="E4" s="60">
        <v>1</v>
      </c>
      <c r="F4" s="60">
        <v>1.1</v>
      </c>
      <c r="G4" s="60">
        <v>1.2</v>
      </c>
      <c r="H4" s="61"/>
      <c r="I4" s="60"/>
      <c r="J4" s="83"/>
      <c r="K4" s="83"/>
      <c r="L4" s="83" t="s">
        <v>14</v>
      </c>
    </row>
    <row r="5" s="36" customFormat="1" ht="36" customHeight="1" spans="1:13">
      <c r="A5" s="62" t="s">
        <v>15</v>
      </c>
      <c r="B5" s="62" t="s">
        <v>16</v>
      </c>
      <c r="C5" s="32">
        <v>25</v>
      </c>
      <c r="D5" s="13" t="s">
        <v>17</v>
      </c>
      <c r="E5" s="13" t="s">
        <v>18</v>
      </c>
      <c r="F5" s="13" t="s">
        <v>19</v>
      </c>
      <c r="G5" s="63" t="s">
        <v>20</v>
      </c>
      <c r="H5" s="64"/>
      <c r="I5" s="14" t="s">
        <v>21</v>
      </c>
      <c r="J5" s="14" t="s">
        <v>22</v>
      </c>
      <c r="K5" s="14" t="s">
        <v>23</v>
      </c>
      <c r="L5" s="18"/>
      <c r="M5" s="84"/>
    </row>
    <row r="6" s="36" customFormat="1" ht="42" customHeight="1" spans="1:13">
      <c r="A6" s="62" t="s">
        <v>24</v>
      </c>
      <c r="B6" s="62" t="s">
        <v>25</v>
      </c>
      <c r="C6" s="32">
        <v>25</v>
      </c>
      <c r="D6" s="13" t="s">
        <v>26</v>
      </c>
      <c r="E6" s="13" t="s">
        <v>27</v>
      </c>
      <c r="F6" s="13" t="s">
        <v>28</v>
      </c>
      <c r="G6" s="63" t="s">
        <v>29</v>
      </c>
      <c r="H6" s="64"/>
      <c r="I6" s="14" t="s">
        <v>30</v>
      </c>
      <c r="J6" s="14" t="s">
        <v>22</v>
      </c>
      <c r="K6" s="14" t="s">
        <v>23</v>
      </c>
      <c r="L6" s="18"/>
      <c r="M6" s="84"/>
    </row>
    <row r="7" s="36" customFormat="1" ht="52" customHeight="1" spans="1:12">
      <c r="A7" s="62" t="s">
        <v>31</v>
      </c>
      <c r="B7" s="62" t="s">
        <v>32</v>
      </c>
      <c r="C7" s="32">
        <v>35</v>
      </c>
      <c r="D7" s="13" t="s">
        <v>33</v>
      </c>
      <c r="E7" s="13" t="s">
        <v>34</v>
      </c>
      <c r="F7" s="13" t="s">
        <v>35</v>
      </c>
      <c r="G7" s="13" t="s">
        <v>36</v>
      </c>
      <c r="H7" s="65"/>
      <c r="I7" s="14" t="s">
        <v>30</v>
      </c>
      <c r="J7" s="14" t="s">
        <v>22</v>
      </c>
      <c r="K7" s="14" t="s">
        <v>23</v>
      </c>
      <c r="L7" s="14"/>
    </row>
    <row r="8" s="36" customFormat="1" ht="33" customHeight="1" spans="1:13">
      <c r="A8" s="62" t="s">
        <v>37</v>
      </c>
      <c r="B8" s="62" t="s">
        <v>38</v>
      </c>
      <c r="C8" s="32">
        <v>15</v>
      </c>
      <c r="D8" s="13" t="s">
        <v>39</v>
      </c>
      <c r="E8" s="13" t="s">
        <v>40</v>
      </c>
      <c r="F8" s="13" t="s">
        <v>41</v>
      </c>
      <c r="G8" s="63">
        <v>0</v>
      </c>
      <c r="H8" s="64"/>
      <c r="I8" s="14" t="s">
        <v>21</v>
      </c>
      <c r="J8" s="14" t="s">
        <v>22</v>
      </c>
      <c r="K8" s="14" t="s">
        <v>23</v>
      </c>
      <c r="L8" s="18"/>
      <c r="M8" s="84"/>
    </row>
    <row r="9" s="36" customFormat="1" ht="23" customHeight="1" spans="1:12">
      <c r="A9" s="66" t="s">
        <v>42</v>
      </c>
      <c r="B9" s="67"/>
      <c r="C9" s="68" t="s">
        <v>43</v>
      </c>
      <c r="D9" s="69"/>
      <c r="E9" s="70"/>
      <c r="F9" s="71"/>
      <c r="G9" s="72"/>
      <c r="H9" s="73" t="s">
        <v>44</v>
      </c>
      <c r="I9" s="12"/>
      <c r="J9" s="14"/>
      <c r="K9" s="14"/>
      <c r="L9" s="12"/>
    </row>
    <row r="10" s="36" customFormat="1" ht="23" customHeight="1" spans="1:12">
      <c r="A10" s="12" t="s">
        <v>45</v>
      </c>
      <c r="B10" s="74" t="s">
        <v>46</v>
      </c>
      <c r="C10" s="75"/>
      <c r="D10" s="75"/>
      <c r="E10" s="75"/>
      <c r="F10" s="75"/>
      <c r="G10" s="76"/>
      <c r="H10" s="73" t="s">
        <v>47</v>
      </c>
      <c r="I10" s="12"/>
      <c r="J10" s="14"/>
      <c r="K10" s="14"/>
      <c r="L10" s="12"/>
    </row>
    <row r="11" s="43" customFormat="1" ht="22" customHeight="1" spans="1:9">
      <c r="A11" s="49" t="s">
        <v>48</v>
      </c>
      <c r="B11" s="50"/>
      <c r="C11" s="49"/>
      <c r="D11" s="49"/>
      <c r="E11" s="49"/>
      <c r="F11" s="49"/>
      <c r="G11" s="49"/>
      <c r="H11" s="77"/>
      <c r="I11" s="49"/>
    </row>
    <row r="12" s="43" customFormat="1" ht="22" customHeight="1" spans="1:9">
      <c r="A12" s="49" t="s">
        <v>49</v>
      </c>
      <c r="B12" s="50"/>
      <c r="C12" s="49"/>
      <c r="D12" s="49"/>
      <c r="E12" s="49"/>
      <c r="F12" s="49"/>
      <c r="G12" s="49"/>
      <c r="H12" s="77"/>
      <c r="I12" s="49"/>
    </row>
    <row r="13" s="43" customFormat="1" ht="34" customHeight="1" spans="1:11">
      <c r="A13" s="78" t="s">
        <v>50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="43" customFormat="1" ht="22" customHeight="1" spans="1:8">
      <c r="A14" s="43" t="s">
        <v>51</v>
      </c>
      <c r="H14" s="79"/>
    </row>
    <row r="15" s="43" customFormat="1" ht="36" customHeight="1" spans="1:11">
      <c r="A15" s="78" t="s">
        <v>52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s="43" customFormat="1" ht="22" customHeight="1" spans="8:8">
      <c r="H16" s="79"/>
    </row>
    <row r="17" s="43" customFormat="1" ht="22" customHeight="1" spans="8:8">
      <c r="H17" s="79"/>
    </row>
    <row r="18" s="43" customFormat="1" ht="22" customHeight="1" spans="8:8">
      <c r="H18" s="79"/>
    </row>
    <row r="19" s="43" customFormat="1" ht="22" customHeight="1" spans="8:8">
      <c r="H19" s="79"/>
    </row>
    <row r="20" s="43" customFormat="1" ht="22" customHeight="1" spans="8:8">
      <c r="H20" s="79"/>
    </row>
    <row r="21" s="43" customFormat="1" ht="22" customHeight="1" spans="8:8">
      <c r="H21" s="79"/>
    </row>
    <row r="22" s="43" customFormat="1" ht="22" customHeight="1" spans="8:8">
      <c r="H22" s="79"/>
    </row>
    <row r="23" s="43" customFormat="1" ht="22" customHeight="1" spans="8:8">
      <c r="H23" s="79"/>
    </row>
    <row r="24" s="43" customFormat="1" ht="22" customHeight="1" spans="8:8">
      <c r="H24" s="79"/>
    </row>
    <row r="25" s="43" customFormat="1" ht="22" customHeight="1" spans="8:8">
      <c r="H25" s="79"/>
    </row>
    <row r="26" s="43" customFormat="1" ht="22" customHeight="1" spans="8:8">
      <c r="H26" s="79"/>
    </row>
    <row r="27" s="43" customFormat="1" ht="22" customHeight="1" spans="8:8">
      <c r="H27" s="79"/>
    </row>
    <row r="28" s="43" customFormat="1" ht="22" customHeight="1" spans="8:8">
      <c r="H28" s="79"/>
    </row>
    <row r="29" s="43" customFormat="1" ht="22" customHeight="1" spans="8:8">
      <c r="H29" s="79"/>
    </row>
    <row r="30" s="43" customFormat="1" ht="22" customHeight="1" spans="8:8">
      <c r="H30" s="79"/>
    </row>
    <row r="31" s="43" customFormat="1" ht="22" customHeight="1" spans="8:8">
      <c r="H31" s="79"/>
    </row>
    <row r="32" s="43" customFormat="1" ht="22" customHeight="1" spans="8:8">
      <c r="H32" s="79"/>
    </row>
    <row r="33" s="43" customFormat="1" ht="22" customHeight="1" spans="8:8">
      <c r="H33" s="79"/>
    </row>
    <row r="34" s="43" customFormat="1" ht="22" customHeight="1" spans="8:8">
      <c r="H34" s="79"/>
    </row>
    <row r="35" s="43" customFormat="1" ht="22" customHeight="1" spans="8:8">
      <c r="H35" s="79"/>
    </row>
    <row r="36" s="43" customFormat="1" ht="22" customHeight="1" spans="8:8">
      <c r="H36" s="79"/>
    </row>
    <row r="37" s="43" customFormat="1" ht="22" customHeight="1" spans="8:8">
      <c r="H37" s="79"/>
    </row>
    <row r="38" s="43" customFormat="1" ht="22" customHeight="1" spans="8:8">
      <c r="H38" s="79"/>
    </row>
    <row r="39" s="42" customFormat="1" ht="22" customHeight="1" spans="8:8">
      <c r="H39" s="44"/>
    </row>
    <row r="40" s="42" customFormat="1" ht="22" customHeight="1" spans="8:8">
      <c r="H40" s="44"/>
    </row>
    <row r="41" s="42" customFormat="1" ht="22" customHeight="1" spans="8:8">
      <c r="H41" s="44"/>
    </row>
    <row r="42" s="42" customFormat="1" ht="22" customHeight="1" spans="8:8">
      <c r="H42" s="44"/>
    </row>
  </sheetData>
  <mergeCells count="14">
    <mergeCell ref="A1:L1"/>
    <mergeCell ref="D3:G3"/>
    <mergeCell ref="C9:E9"/>
    <mergeCell ref="F9:G9"/>
    <mergeCell ref="B10:G10"/>
    <mergeCell ref="A13:K13"/>
    <mergeCell ref="A15:K15"/>
    <mergeCell ref="A3:A4"/>
    <mergeCell ref="B3:B4"/>
    <mergeCell ref="C3:C4"/>
    <mergeCell ref="H3:H4"/>
    <mergeCell ref="I3:I4"/>
    <mergeCell ref="J3:J4"/>
    <mergeCell ref="K3:K4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workbookViewId="0">
      <pane ySplit="4" topLeftCell="A11" activePane="bottomLeft" state="frozen"/>
      <selection/>
      <selection pane="bottomLeft" activeCell="M15" sqref="M15"/>
    </sheetView>
  </sheetViews>
  <sheetFormatPr defaultColWidth="9" defaultRowHeight="13.5"/>
  <cols>
    <col min="1" max="1" width="11.5083333333333" style="42" customWidth="1"/>
    <col min="2" max="2" width="30.625" style="42" customWidth="1"/>
    <col min="3" max="3" width="9.625" style="42" customWidth="1"/>
    <col min="4" max="7" width="8" style="42" customWidth="1"/>
    <col min="8" max="8" width="8" style="44" customWidth="1"/>
    <col min="9" max="10" width="8" style="42" customWidth="1"/>
    <col min="11" max="12" width="7.125" style="42" customWidth="1"/>
    <col min="13" max="13" width="39.875" style="42" customWidth="1"/>
    <col min="14" max="16381" width="9" style="42"/>
    <col min="16382" max="16384" width="9" style="45"/>
  </cols>
  <sheetData>
    <row r="1" s="42" customFormat="1" ht="23" customHeight="1" spans="1:12">
      <c r="A1" s="46" t="s">
        <v>53</v>
      </c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</row>
    <row r="2" s="42" customFormat="1" ht="23" customHeight="1" spans="1:12">
      <c r="A2" s="49"/>
      <c r="B2" s="50" t="s">
        <v>1</v>
      </c>
      <c r="C2" s="49"/>
      <c r="D2" s="49"/>
      <c r="E2" s="49"/>
      <c r="F2" s="49"/>
      <c r="G2" s="49"/>
      <c r="H2" s="51" t="s">
        <v>2</v>
      </c>
      <c r="I2" s="81" t="s">
        <v>54</v>
      </c>
      <c r="J2" s="82" t="s">
        <v>3</v>
      </c>
      <c r="K2" s="49" t="s">
        <v>55</v>
      </c>
      <c r="L2" s="49" t="s">
        <v>56</v>
      </c>
    </row>
    <row r="3" s="36" customFormat="1" ht="23" customHeight="1" spans="1:12">
      <c r="A3" s="52" t="s">
        <v>5</v>
      </c>
      <c r="B3" s="53" t="s">
        <v>6</v>
      </c>
      <c r="C3" s="54" t="s">
        <v>7</v>
      </c>
      <c r="D3" s="55" t="s">
        <v>8</v>
      </c>
      <c r="E3" s="56"/>
      <c r="F3" s="56"/>
      <c r="G3" s="57"/>
      <c r="H3" s="58" t="s">
        <v>9</v>
      </c>
      <c r="I3" s="60" t="s">
        <v>10</v>
      </c>
      <c r="J3" s="54" t="s">
        <v>11</v>
      </c>
      <c r="K3" s="54" t="s">
        <v>12</v>
      </c>
      <c r="L3" s="52" t="s">
        <v>13</v>
      </c>
    </row>
    <row r="4" s="36" customFormat="1" ht="23" customHeight="1" spans="1:12">
      <c r="A4" s="52"/>
      <c r="B4" s="59"/>
      <c r="C4" s="59"/>
      <c r="D4" s="60">
        <v>0.8</v>
      </c>
      <c r="E4" s="60">
        <v>1</v>
      </c>
      <c r="F4" s="60">
        <v>1.1</v>
      </c>
      <c r="G4" s="60">
        <v>1.2</v>
      </c>
      <c r="H4" s="61"/>
      <c r="I4" s="60"/>
      <c r="J4" s="83"/>
      <c r="K4" s="83"/>
      <c r="L4" s="83" t="s">
        <v>14</v>
      </c>
    </row>
    <row r="5" s="36" customFormat="1" ht="36" customHeight="1" spans="1:13">
      <c r="A5" s="62" t="s">
        <v>15</v>
      </c>
      <c r="B5" s="62" t="s">
        <v>16</v>
      </c>
      <c r="C5" s="32">
        <v>25</v>
      </c>
      <c r="D5" s="13" t="s">
        <v>17</v>
      </c>
      <c r="E5" s="13" t="s">
        <v>18</v>
      </c>
      <c r="F5" s="13" t="s">
        <v>19</v>
      </c>
      <c r="G5" s="63" t="s">
        <v>20</v>
      </c>
      <c r="H5" s="64">
        <v>0.2776</v>
      </c>
      <c r="I5" s="14" t="s">
        <v>21</v>
      </c>
      <c r="J5" s="14" t="s">
        <v>22</v>
      </c>
      <c r="K5" s="14" t="s">
        <v>23</v>
      </c>
      <c r="L5" s="18">
        <f>C5*F4</f>
        <v>27.5</v>
      </c>
      <c r="M5" s="84"/>
    </row>
    <row r="6" s="36" customFormat="1" ht="42" customHeight="1" spans="1:13">
      <c r="A6" s="62" t="s">
        <v>24</v>
      </c>
      <c r="B6" s="62" t="s">
        <v>25</v>
      </c>
      <c r="C6" s="32">
        <v>25</v>
      </c>
      <c r="D6" s="13" t="s">
        <v>26</v>
      </c>
      <c r="E6" s="13" t="s">
        <v>27</v>
      </c>
      <c r="F6" s="13" t="s">
        <v>28</v>
      </c>
      <c r="G6" s="63" t="s">
        <v>29</v>
      </c>
      <c r="H6" s="64">
        <v>0.2002</v>
      </c>
      <c r="I6" s="14" t="s">
        <v>30</v>
      </c>
      <c r="J6" s="14" t="s">
        <v>22</v>
      </c>
      <c r="K6" s="14" t="s">
        <v>23</v>
      </c>
      <c r="L6" s="18">
        <v>0</v>
      </c>
      <c r="M6" s="84"/>
    </row>
    <row r="7" s="36" customFormat="1" ht="52" customHeight="1" spans="1:12">
      <c r="A7" s="62" t="s">
        <v>31</v>
      </c>
      <c r="B7" s="62" t="s">
        <v>32</v>
      </c>
      <c r="C7" s="32">
        <v>35</v>
      </c>
      <c r="D7" s="13" t="s">
        <v>33</v>
      </c>
      <c r="E7" s="13" t="s">
        <v>34</v>
      </c>
      <c r="F7" s="13" t="s">
        <v>35</v>
      </c>
      <c r="G7" s="13" t="s">
        <v>36</v>
      </c>
      <c r="H7" s="65">
        <v>-0.1933</v>
      </c>
      <c r="I7" s="14" t="s">
        <v>30</v>
      </c>
      <c r="J7" s="14" t="s">
        <v>22</v>
      </c>
      <c r="K7" s="14" t="s">
        <v>23</v>
      </c>
      <c r="L7" s="14">
        <v>0</v>
      </c>
    </row>
    <row r="8" s="36" customFormat="1" ht="33" customHeight="1" spans="1:13">
      <c r="A8" s="62" t="s">
        <v>37</v>
      </c>
      <c r="B8" s="62" t="s">
        <v>38</v>
      </c>
      <c r="C8" s="32">
        <v>15</v>
      </c>
      <c r="D8" s="13" t="s">
        <v>39</v>
      </c>
      <c r="E8" s="13" t="s">
        <v>40</v>
      </c>
      <c r="F8" s="13" t="s">
        <v>41</v>
      </c>
      <c r="G8" s="63">
        <v>0</v>
      </c>
      <c r="H8" s="64">
        <v>0.2012</v>
      </c>
      <c r="I8" s="14" t="s">
        <v>21</v>
      </c>
      <c r="J8" s="14" t="s">
        <v>22</v>
      </c>
      <c r="K8" s="14" t="s">
        <v>23</v>
      </c>
      <c r="L8" s="18">
        <v>0</v>
      </c>
      <c r="M8" s="85">
        <f>2793/9289</f>
        <v>0.300678221552374</v>
      </c>
    </row>
    <row r="9" s="36" customFormat="1" ht="23" customHeight="1" spans="1:12">
      <c r="A9" s="66" t="s">
        <v>42</v>
      </c>
      <c r="B9" s="67"/>
      <c r="C9" s="68" t="s">
        <v>43</v>
      </c>
      <c r="D9" s="69"/>
      <c r="E9" s="70"/>
      <c r="F9" s="71"/>
      <c r="G9" s="72"/>
      <c r="H9" s="73" t="s">
        <v>44</v>
      </c>
      <c r="I9" s="12">
        <f>L9</f>
        <v>27.5</v>
      </c>
      <c r="J9" s="14"/>
      <c r="K9" s="14"/>
      <c r="L9" s="12">
        <f>SUM(L5:L8)</f>
        <v>27.5</v>
      </c>
    </row>
    <row r="10" s="36" customFormat="1" ht="23" customHeight="1" spans="1:12">
      <c r="A10" s="12" t="s">
        <v>45</v>
      </c>
      <c r="B10" s="74" t="s">
        <v>46</v>
      </c>
      <c r="C10" s="75"/>
      <c r="D10" s="75"/>
      <c r="E10" s="75"/>
      <c r="F10" s="75"/>
      <c r="G10" s="76"/>
      <c r="H10" s="73" t="s">
        <v>47</v>
      </c>
      <c r="I10" s="12"/>
      <c r="J10" s="14"/>
      <c r="K10" s="14"/>
      <c r="L10" s="12"/>
    </row>
    <row r="11" s="43" customFormat="1" ht="22" customHeight="1" spans="1:9">
      <c r="A11" s="49" t="s">
        <v>48</v>
      </c>
      <c r="B11" s="50"/>
      <c r="C11" s="49"/>
      <c r="D11" s="49"/>
      <c r="E11" s="49"/>
      <c r="F11" s="49"/>
      <c r="G11" s="49"/>
      <c r="H11" s="77"/>
      <c r="I11" s="49"/>
    </row>
    <row r="12" s="43" customFormat="1" ht="22" customHeight="1" spans="1:9">
      <c r="A12" s="49" t="s">
        <v>49</v>
      </c>
      <c r="B12" s="50"/>
      <c r="C12" s="49"/>
      <c r="D12" s="49"/>
      <c r="E12" s="49"/>
      <c r="F12" s="49"/>
      <c r="G12" s="49"/>
      <c r="H12" s="77"/>
      <c r="I12" s="49"/>
    </row>
    <row r="13" s="43" customFormat="1" ht="34" customHeight="1" spans="1:11">
      <c r="A13" s="78" t="s">
        <v>50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="43" customFormat="1" ht="22" customHeight="1" spans="1:8">
      <c r="A14" s="43" t="s">
        <v>51</v>
      </c>
      <c r="H14" s="79"/>
    </row>
    <row r="15" s="43" customFormat="1" ht="36" customHeight="1" spans="1:11">
      <c r="A15" s="78" t="s">
        <v>52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s="43" customFormat="1" ht="22" customHeight="1" spans="1:8">
      <c r="A16" s="27" t="s">
        <v>57</v>
      </c>
      <c r="B16" s="39" t="s">
        <v>34</v>
      </c>
      <c r="C16" s="27" t="s">
        <v>58</v>
      </c>
      <c r="D16" s="27" t="s">
        <v>59</v>
      </c>
      <c r="E16" s="27" t="s">
        <v>60</v>
      </c>
      <c r="F16" s="27" t="s">
        <v>61</v>
      </c>
      <c r="G16" s="27" t="s">
        <v>62</v>
      </c>
      <c r="H16" s="27" t="s">
        <v>63</v>
      </c>
    </row>
    <row r="17" s="43" customFormat="1" ht="22" customHeight="1" spans="1:8">
      <c r="A17" s="27" t="s">
        <v>64</v>
      </c>
      <c r="B17" s="40">
        <v>5000</v>
      </c>
      <c r="C17" s="41">
        <v>5000</v>
      </c>
      <c r="D17" s="41">
        <v>5000</v>
      </c>
      <c r="E17" s="41">
        <v>7000</v>
      </c>
      <c r="F17" s="41">
        <v>7000</v>
      </c>
      <c r="G17" s="41">
        <v>8000</v>
      </c>
      <c r="H17" s="41">
        <v>8000</v>
      </c>
    </row>
    <row r="18" s="43" customFormat="1" ht="22" customHeight="1" spans="1:8">
      <c r="A18" s="27" t="s">
        <v>65</v>
      </c>
      <c r="B18" s="87" t="s">
        <v>66</v>
      </c>
      <c r="C18" s="27">
        <v>0.5</v>
      </c>
      <c r="D18" s="27">
        <v>0.7</v>
      </c>
      <c r="E18" s="27">
        <v>0.9</v>
      </c>
      <c r="F18" s="27">
        <v>1.1</v>
      </c>
      <c r="G18" s="27">
        <v>1.3</v>
      </c>
      <c r="H18" s="27">
        <v>1.5</v>
      </c>
    </row>
    <row r="19" s="43" customFormat="1" ht="22" customHeight="1" spans="1:8">
      <c r="A19" s="27" t="s">
        <v>67</v>
      </c>
      <c r="B19" s="27">
        <f t="shared" ref="B19:H19" si="0">B18*2000</f>
        <v>600</v>
      </c>
      <c r="C19" s="27">
        <f t="shared" si="0"/>
        <v>1000</v>
      </c>
      <c r="D19" s="27">
        <f t="shared" si="0"/>
        <v>1400</v>
      </c>
      <c r="E19" s="27">
        <f t="shared" si="0"/>
        <v>1800</v>
      </c>
      <c r="F19" s="27">
        <f t="shared" si="0"/>
        <v>2200</v>
      </c>
      <c r="G19" s="27">
        <f t="shared" si="0"/>
        <v>2600</v>
      </c>
      <c r="H19" s="27">
        <f t="shared" si="0"/>
        <v>3000</v>
      </c>
    </row>
    <row r="20" s="43" customFormat="1" ht="22" customHeight="1" spans="1:8">
      <c r="A20" s="43" t="s">
        <v>68</v>
      </c>
      <c r="B20" s="86">
        <v>-0.2336</v>
      </c>
      <c r="H20" s="79"/>
    </row>
    <row r="21" s="43" customFormat="1" ht="22" customHeight="1" spans="8:8">
      <c r="H21" s="79"/>
    </row>
    <row r="22" s="43" customFormat="1" ht="22" customHeight="1" spans="8:8">
      <c r="H22" s="79"/>
    </row>
    <row r="23" s="43" customFormat="1" ht="22" customHeight="1" spans="8:8">
      <c r="H23" s="79"/>
    </row>
    <row r="24" s="43" customFormat="1" ht="22" customHeight="1" spans="8:8">
      <c r="H24" s="79"/>
    </row>
    <row r="25" s="43" customFormat="1" ht="22" customHeight="1" spans="8:8">
      <c r="H25" s="79"/>
    </row>
    <row r="26" s="43" customFormat="1" ht="22" customHeight="1" spans="8:8">
      <c r="H26" s="79"/>
    </row>
    <row r="27" s="43" customFormat="1" ht="22" customHeight="1" spans="8:8">
      <c r="H27" s="79"/>
    </row>
    <row r="28" s="43" customFormat="1" ht="22" customHeight="1" spans="8:8">
      <c r="H28" s="79"/>
    </row>
    <row r="29" s="43" customFormat="1" ht="22" customHeight="1" spans="8:8">
      <c r="H29" s="79"/>
    </row>
    <row r="30" s="43" customFormat="1" ht="22" customHeight="1" spans="8:8">
      <c r="H30" s="79"/>
    </row>
    <row r="31" s="43" customFormat="1" ht="22" customHeight="1" spans="8:8">
      <c r="H31" s="79"/>
    </row>
    <row r="32" s="43" customFormat="1" ht="22" customHeight="1" spans="8:8">
      <c r="H32" s="79"/>
    </row>
    <row r="33" s="43" customFormat="1" ht="22" customHeight="1" spans="8:8">
      <c r="H33" s="79"/>
    </row>
    <row r="34" s="43" customFormat="1" ht="22" customHeight="1" spans="8:8">
      <c r="H34" s="79"/>
    </row>
    <row r="35" s="43" customFormat="1" ht="22" customHeight="1" spans="8:8">
      <c r="H35" s="79"/>
    </row>
    <row r="36" s="43" customFormat="1" ht="22" customHeight="1" spans="8:8">
      <c r="H36" s="79"/>
    </row>
    <row r="37" s="43" customFormat="1" ht="22" customHeight="1" spans="8:8">
      <c r="H37" s="79"/>
    </row>
    <row r="38" s="43" customFormat="1" ht="22" customHeight="1" spans="8:8">
      <c r="H38" s="79"/>
    </row>
    <row r="39" s="42" customFormat="1" ht="22" customHeight="1" spans="8:8">
      <c r="H39" s="44"/>
    </row>
    <row r="40" s="42" customFormat="1" ht="22" customHeight="1" spans="8:8">
      <c r="H40" s="44"/>
    </row>
    <row r="41" s="42" customFormat="1" ht="22" customHeight="1" spans="8:8">
      <c r="H41" s="44"/>
    </row>
    <row r="42" s="42" customFormat="1" ht="22" customHeight="1" spans="8:8">
      <c r="H42" s="44"/>
    </row>
  </sheetData>
  <mergeCells count="14">
    <mergeCell ref="A1:L1"/>
    <mergeCell ref="D3:G3"/>
    <mergeCell ref="C9:E9"/>
    <mergeCell ref="F9:G9"/>
    <mergeCell ref="B10:G10"/>
    <mergeCell ref="A13:K13"/>
    <mergeCell ref="A15:K15"/>
    <mergeCell ref="A3:A4"/>
    <mergeCell ref="B3:B4"/>
    <mergeCell ref="C3:C4"/>
    <mergeCell ref="H3:H4"/>
    <mergeCell ref="I3:I4"/>
    <mergeCell ref="J3:J4"/>
    <mergeCell ref="K3:K4"/>
  </mergeCells>
  <pageMargins left="0.75" right="0.75" top="1" bottom="1" header="0.5" footer="0.5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pane ySplit="4" topLeftCell="A7" activePane="bottomLeft" state="frozen"/>
      <selection/>
      <selection pane="bottomLeft" activeCell="M15" sqref="M15"/>
    </sheetView>
  </sheetViews>
  <sheetFormatPr defaultColWidth="9" defaultRowHeight="13.5"/>
  <cols>
    <col min="1" max="1" width="11.5083333333333" style="42" customWidth="1"/>
    <col min="2" max="2" width="30.625" style="42" customWidth="1"/>
    <col min="3" max="3" width="9.75" style="42" customWidth="1"/>
    <col min="4" max="7" width="8" style="42" customWidth="1"/>
    <col min="8" max="8" width="8" style="44" customWidth="1"/>
    <col min="9" max="10" width="8" style="42" customWidth="1"/>
    <col min="11" max="12" width="7.125" style="42" customWidth="1"/>
    <col min="13" max="13" width="39.875" style="42" customWidth="1"/>
    <col min="14" max="16381" width="9" style="42"/>
    <col min="16382" max="16384" width="9" style="45"/>
  </cols>
  <sheetData>
    <row r="1" s="42" customFormat="1" ht="23" customHeight="1" spans="1:12">
      <c r="A1" s="46" t="s">
        <v>53</v>
      </c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</row>
    <row r="2" s="42" customFormat="1" ht="23" customHeight="1" spans="1:12">
      <c r="A2" s="49"/>
      <c r="B2" s="50" t="s">
        <v>1</v>
      </c>
      <c r="C2" s="49"/>
      <c r="D2" s="49"/>
      <c r="E2" s="49"/>
      <c r="F2" s="49"/>
      <c r="G2" s="49"/>
      <c r="H2" s="51" t="s">
        <v>2</v>
      </c>
      <c r="I2" s="81" t="s">
        <v>54</v>
      </c>
      <c r="J2" s="82" t="s">
        <v>3</v>
      </c>
      <c r="K2" s="49" t="s">
        <v>69</v>
      </c>
      <c r="L2" s="49" t="s">
        <v>56</v>
      </c>
    </row>
    <row r="3" s="36" customFormat="1" ht="23" customHeight="1" spans="1:12">
      <c r="A3" s="52" t="s">
        <v>5</v>
      </c>
      <c r="B3" s="53" t="s">
        <v>6</v>
      </c>
      <c r="C3" s="54" t="s">
        <v>7</v>
      </c>
      <c r="D3" s="55" t="s">
        <v>8</v>
      </c>
      <c r="E3" s="56"/>
      <c r="F3" s="56"/>
      <c r="G3" s="57"/>
      <c r="H3" s="58" t="s">
        <v>9</v>
      </c>
      <c r="I3" s="60" t="s">
        <v>10</v>
      </c>
      <c r="J3" s="54" t="s">
        <v>11</v>
      </c>
      <c r="K3" s="54" t="s">
        <v>12</v>
      </c>
      <c r="L3" s="52" t="s">
        <v>13</v>
      </c>
    </row>
    <row r="4" s="36" customFormat="1" ht="23" customHeight="1" spans="1:12">
      <c r="A4" s="52"/>
      <c r="B4" s="59"/>
      <c r="C4" s="59"/>
      <c r="D4" s="60">
        <v>0.8</v>
      </c>
      <c r="E4" s="60">
        <v>1</v>
      </c>
      <c r="F4" s="60">
        <v>1.1</v>
      </c>
      <c r="G4" s="60">
        <v>1.2</v>
      </c>
      <c r="H4" s="61"/>
      <c r="I4" s="60"/>
      <c r="J4" s="83"/>
      <c r="K4" s="83"/>
      <c r="L4" s="83" t="s">
        <v>14</v>
      </c>
    </row>
    <row r="5" s="36" customFormat="1" ht="36" customHeight="1" spans="1:13">
      <c r="A5" s="62" t="s">
        <v>15</v>
      </c>
      <c r="B5" s="62" t="s">
        <v>16</v>
      </c>
      <c r="C5" s="32">
        <v>25</v>
      </c>
      <c r="D5" s="13" t="s">
        <v>17</v>
      </c>
      <c r="E5" s="13" t="s">
        <v>18</v>
      </c>
      <c r="F5" s="13" t="s">
        <v>19</v>
      </c>
      <c r="G5" s="63" t="s">
        <v>20</v>
      </c>
      <c r="H5" s="64">
        <v>0.2693</v>
      </c>
      <c r="I5" s="14" t="s">
        <v>21</v>
      </c>
      <c r="J5" s="14" t="s">
        <v>22</v>
      </c>
      <c r="K5" s="14" t="s">
        <v>23</v>
      </c>
      <c r="L5" s="18">
        <f>C5*F4</f>
        <v>27.5</v>
      </c>
      <c r="M5" s="84"/>
    </row>
    <row r="6" s="36" customFormat="1" ht="42" customHeight="1" spans="1:13">
      <c r="A6" s="62" t="s">
        <v>24</v>
      </c>
      <c r="B6" s="62" t="s">
        <v>25</v>
      </c>
      <c r="C6" s="32">
        <v>25</v>
      </c>
      <c r="D6" s="13" t="s">
        <v>26</v>
      </c>
      <c r="E6" s="13" t="s">
        <v>27</v>
      </c>
      <c r="F6" s="13" t="s">
        <v>28</v>
      </c>
      <c r="G6" s="63" t="s">
        <v>29</v>
      </c>
      <c r="H6" s="64">
        <v>0.1973</v>
      </c>
      <c r="I6" s="14" t="s">
        <v>30</v>
      </c>
      <c r="J6" s="14" t="s">
        <v>22</v>
      </c>
      <c r="K6" s="14" t="s">
        <v>23</v>
      </c>
      <c r="L6" s="18">
        <f>C6*D4</f>
        <v>20</v>
      </c>
      <c r="M6" s="84"/>
    </row>
    <row r="7" s="36" customFormat="1" ht="52" customHeight="1" spans="1:12">
      <c r="A7" s="62" t="s">
        <v>31</v>
      </c>
      <c r="B7" s="62" t="s">
        <v>32</v>
      </c>
      <c r="C7" s="32">
        <v>35</v>
      </c>
      <c r="D7" s="13" t="s">
        <v>33</v>
      </c>
      <c r="E7" s="13" t="s">
        <v>34</v>
      </c>
      <c r="F7" s="13" t="s">
        <v>35</v>
      </c>
      <c r="G7" s="13" t="s">
        <v>36</v>
      </c>
      <c r="H7" s="65">
        <v>0.4474</v>
      </c>
      <c r="I7" s="14" t="s">
        <v>30</v>
      </c>
      <c r="J7" s="14" t="s">
        <v>22</v>
      </c>
      <c r="K7" s="14" t="s">
        <v>23</v>
      </c>
      <c r="L7" s="14">
        <f>C7*G4</f>
        <v>42</v>
      </c>
    </row>
    <row r="8" s="36" customFormat="1" ht="33" customHeight="1" spans="1:13">
      <c r="A8" s="62" t="s">
        <v>37</v>
      </c>
      <c r="B8" s="62" t="s">
        <v>38</v>
      </c>
      <c r="C8" s="32">
        <v>15</v>
      </c>
      <c r="D8" s="13" t="s">
        <v>39</v>
      </c>
      <c r="E8" s="13" t="s">
        <v>40</v>
      </c>
      <c r="F8" s="13" t="s">
        <v>41</v>
      </c>
      <c r="G8" s="63">
        <v>0</v>
      </c>
      <c r="H8" s="64">
        <v>0.3357</v>
      </c>
      <c r="I8" s="14" t="s">
        <v>21</v>
      </c>
      <c r="J8" s="14" t="s">
        <v>22</v>
      </c>
      <c r="K8" s="14" t="s">
        <v>23</v>
      </c>
      <c r="L8" s="18">
        <v>0</v>
      </c>
      <c r="M8" s="85">
        <f>2525/7521</f>
        <v>0.335726632096796</v>
      </c>
    </row>
    <row r="9" s="36" customFormat="1" ht="23" customHeight="1" spans="1:12">
      <c r="A9" s="66" t="s">
        <v>42</v>
      </c>
      <c r="B9" s="67"/>
      <c r="C9" s="68" t="s">
        <v>43</v>
      </c>
      <c r="D9" s="69"/>
      <c r="E9" s="70"/>
      <c r="F9" s="71"/>
      <c r="G9" s="72"/>
      <c r="H9" s="73" t="s">
        <v>44</v>
      </c>
      <c r="I9" s="12">
        <f>L9</f>
        <v>89.5</v>
      </c>
      <c r="J9" s="14"/>
      <c r="K9" s="14"/>
      <c r="L9" s="12">
        <f>SUM(L5:L8)</f>
        <v>89.5</v>
      </c>
    </row>
    <row r="10" s="36" customFormat="1" ht="23" customHeight="1" spans="1:12">
      <c r="A10" s="12" t="s">
        <v>45</v>
      </c>
      <c r="B10" s="74" t="s">
        <v>46</v>
      </c>
      <c r="C10" s="75"/>
      <c r="D10" s="75"/>
      <c r="E10" s="75"/>
      <c r="F10" s="75"/>
      <c r="G10" s="76"/>
      <c r="H10" s="73" t="s">
        <v>47</v>
      </c>
      <c r="I10" s="12"/>
      <c r="J10" s="14"/>
      <c r="K10" s="14"/>
      <c r="L10" s="12"/>
    </row>
    <row r="11" s="43" customFormat="1" ht="22" customHeight="1" spans="1:9">
      <c r="A11" s="49" t="s">
        <v>48</v>
      </c>
      <c r="B11" s="50"/>
      <c r="C11" s="49"/>
      <c r="D11" s="49"/>
      <c r="E11" s="49"/>
      <c r="F11" s="49"/>
      <c r="G11" s="49"/>
      <c r="H11" s="77"/>
      <c r="I11" s="49"/>
    </row>
    <row r="12" s="43" customFormat="1" ht="22" customHeight="1" spans="1:9">
      <c r="A12" s="49" t="s">
        <v>49</v>
      </c>
      <c r="B12" s="50"/>
      <c r="C12" s="49"/>
      <c r="D12" s="49"/>
      <c r="E12" s="49"/>
      <c r="F12" s="49"/>
      <c r="G12" s="49"/>
      <c r="H12" s="77"/>
      <c r="I12" s="49"/>
    </row>
    <row r="13" s="43" customFormat="1" ht="34" customHeight="1" spans="1:11">
      <c r="A13" s="78" t="s">
        <v>50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="43" customFormat="1" ht="22" customHeight="1" spans="1:8">
      <c r="A14" s="43" t="s">
        <v>51</v>
      </c>
      <c r="H14" s="79"/>
    </row>
    <row r="15" s="43" customFormat="1" ht="36" customHeight="1" spans="1:11">
      <c r="A15" s="78" t="s">
        <v>52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s="43" customFormat="1" ht="22" customHeight="1" spans="1:8">
      <c r="A16" s="27" t="s">
        <v>57</v>
      </c>
      <c r="B16" s="39" t="s">
        <v>34</v>
      </c>
      <c r="C16" s="27" t="s">
        <v>58</v>
      </c>
      <c r="D16" s="27" t="s">
        <v>59</v>
      </c>
      <c r="E16" s="27" t="s">
        <v>60</v>
      </c>
      <c r="F16" s="27" t="s">
        <v>61</v>
      </c>
      <c r="G16" s="27" t="s">
        <v>62</v>
      </c>
      <c r="H16" s="27" t="s">
        <v>63</v>
      </c>
    </row>
    <row r="17" s="43" customFormat="1" ht="22" customHeight="1" spans="1:8">
      <c r="A17" s="27" t="s">
        <v>64</v>
      </c>
      <c r="B17" s="40">
        <v>5000</v>
      </c>
      <c r="C17" s="41">
        <v>5000</v>
      </c>
      <c r="D17" s="41">
        <v>5000</v>
      </c>
      <c r="E17" s="41">
        <v>7000</v>
      </c>
      <c r="F17" s="41">
        <v>7000</v>
      </c>
      <c r="G17" s="41">
        <v>8000</v>
      </c>
      <c r="H17" s="41">
        <v>8000</v>
      </c>
    </row>
    <row r="18" s="43" customFormat="1" ht="22" customHeight="1" spans="1:8">
      <c r="A18" s="27" t="s">
        <v>65</v>
      </c>
      <c r="B18" s="87" t="s">
        <v>66</v>
      </c>
      <c r="C18" s="27">
        <v>0.5</v>
      </c>
      <c r="D18" s="27">
        <v>0.7</v>
      </c>
      <c r="E18" s="27">
        <v>0.9</v>
      </c>
      <c r="F18" s="27">
        <v>1.1</v>
      </c>
      <c r="G18" s="27">
        <v>1.3</v>
      </c>
      <c r="H18" s="27">
        <v>1.5</v>
      </c>
    </row>
    <row r="19" s="43" customFormat="1" ht="22" customHeight="1" spans="1:8">
      <c r="A19" s="27" t="s">
        <v>67</v>
      </c>
      <c r="B19" s="27">
        <f t="shared" ref="B19:H19" si="0">B18*2000</f>
        <v>600</v>
      </c>
      <c r="C19" s="27">
        <f t="shared" si="0"/>
        <v>1000</v>
      </c>
      <c r="D19" s="27">
        <f t="shared" si="0"/>
        <v>1400</v>
      </c>
      <c r="E19" s="27">
        <f t="shared" si="0"/>
        <v>1800</v>
      </c>
      <c r="F19" s="27">
        <f t="shared" si="0"/>
        <v>2200</v>
      </c>
      <c r="G19" s="27">
        <f t="shared" si="0"/>
        <v>2600</v>
      </c>
      <c r="H19" s="27">
        <f t="shared" si="0"/>
        <v>3000</v>
      </c>
    </row>
    <row r="20" s="43" customFormat="1" ht="22" customHeight="1" spans="1:8">
      <c r="A20" s="43" t="s">
        <v>68</v>
      </c>
      <c r="B20" s="79">
        <v>-0.1856</v>
      </c>
      <c r="H20" s="79"/>
    </row>
    <row r="21" s="43" customFormat="1" ht="22" customHeight="1" spans="8:8">
      <c r="H21" s="79"/>
    </row>
    <row r="22" s="43" customFormat="1" ht="22" customHeight="1" spans="8:8">
      <c r="H22" s="79"/>
    </row>
    <row r="23" s="43" customFormat="1" ht="22" customHeight="1" spans="8:8">
      <c r="H23" s="79"/>
    </row>
    <row r="24" s="43" customFormat="1" ht="22" customHeight="1" spans="8:8">
      <c r="H24" s="79"/>
    </row>
    <row r="25" s="43" customFormat="1" ht="22" customHeight="1" spans="8:8">
      <c r="H25" s="79"/>
    </row>
    <row r="26" s="43" customFormat="1" ht="22" customHeight="1" spans="8:8">
      <c r="H26" s="79"/>
    </row>
    <row r="27" s="43" customFormat="1" ht="22" customHeight="1" spans="8:8">
      <c r="H27" s="79"/>
    </row>
    <row r="28" s="43" customFormat="1" ht="22" customHeight="1" spans="8:8">
      <c r="H28" s="79"/>
    </row>
    <row r="29" s="43" customFormat="1" ht="22" customHeight="1" spans="8:8">
      <c r="H29" s="79"/>
    </row>
    <row r="30" s="43" customFormat="1" ht="22" customHeight="1" spans="8:8">
      <c r="H30" s="79"/>
    </row>
    <row r="31" s="43" customFormat="1" ht="22" customHeight="1" spans="8:8">
      <c r="H31" s="79"/>
    </row>
    <row r="32" s="43" customFormat="1" ht="22" customHeight="1" spans="8:8">
      <c r="H32" s="79"/>
    </row>
    <row r="33" s="43" customFormat="1" ht="22" customHeight="1" spans="8:8">
      <c r="H33" s="79"/>
    </row>
    <row r="34" s="43" customFormat="1" ht="22" customHeight="1" spans="8:8">
      <c r="H34" s="79"/>
    </row>
    <row r="35" s="43" customFormat="1" ht="22" customHeight="1" spans="8:8">
      <c r="H35" s="79"/>
    </row>
    <row r="36" s="43" customFormat="1" ht="22" customHeight="1" spans="8:8">
      <c r="H36" s="79"/>
    </row>
    <row r="37" s="43" customFormat="1" ht="22" customHeight="1" spans="8:8">
      <c r="H37" s="79"/>
    </row>
    <row r="38" s="43" customFormat="1" ht="22" customHeight="1" spans="8:8">
      <c r="H38" s="79"/>
    </row>
    <row r="39" s="42" customFormat="1" ht="22" customHeight="1" spans="8:8">
      <c r="H39" s="44"/>
    </row>
    <row r="40" s="42" customFormat="1" ht="22" customHeight="1" spans="8:8">
      <c r="H40" s="44"/>
    </row>
    <row r="41" s="42" customFormat="1" ht="22" customHeight="1" spans="8:8">
      <c r="H41" s="44"/>
    </row>
    <row r="42" s="42" customFormat="1" ht="22" customHeight="1" spans="8:8">
      <c r="H42" s="44"/>
    </row>
  </sheetData>
  <mergeCells count="14">
    <mergeCell ref="A1:L1"/>
    <mergeCell ref="D3:G3"/>
    <mergeCell ref="C9:E9"/>
    <mergeCell ref="F9:G9"/>
    <mergeCell ref="B10:G10"/>
    <mergeCell ref="A13:K13"/>
    <mergeCell ref="A15:K15"/>
    <mergeCell ref="A3:A4"/>
    <mergeCell ref="B3:B4"/>
    <mergeCell ref="C3:C4"/>
    <mergeCell ref="H3:H4"/>
    <mergeCell ref="I3:I4"/>
    <mergeCell ref="J3:J4"/>
    <mergeCell ref="K3:K4"/>
  </mergeCells>
  <pageMargins left="0.75" right="0.75" top="1" bottom="1" header="0.5" footer="0.5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pane ySplit="4" topLeftCell="A7" activePane="bottomLeft" state="frozen"/>
      <selection/>
      <selection pane="bottomLeft" activeCell="A21" sqref="A21"/>
    </sheetView>
  </sheetViews>
  <sheetFormatPr defaultColWidth="9" defaultRowHeight="13.5"/>
  <cols>
    <col min="1" max="1" width="11.5083333333333" style="42" customWidth="1"/>
    <col min="2" max="2" width="30.625" style="42" customWidth="1"/>
    <col min="3" max="3" width="9.25" style="42" customWidth="1"/>
    <col min="4" max="7" width="8" style="42" customWidth="1"/>
    <col min="8" max="8" width="8" style="44" customWidth="1"/>
    <col min="9" max="10" width="8" style="42" customWidth="1"/>
    <col min="11" max="12" width="7.125" style="42" customWidth="1"/>
    <col min="13" max="13" width="39.875" style="42" customWidth="1"/>
    <col min="14" max="16381" width="9" style="42"/>
    <col min="16382" max="16384" width="9" style="45"/>
  </cols>
  <sheetData>
    <row r="1" s="42" customFormat="1" ht="23" customHeight="1" spans="1:12">
      <c r="A1" s="46" t="s">
        <v>53</v>
      </c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</row>
    <row r="2" s="42" customFormat="1" ht="23" customHeight="1" spans="1:12">
      <c r="A2" s="49"/>
      <c r="B2" s="50" t="s">
        <v>1</v>
      </c>
      <c r="C2" s="49"/>
      <c r="D2" s="49"/>
      <c r="E2" s="49"/>
      <c r="F2" s="49"/>
      <c r="G2" s="49"/>
      <c r="H2" s="51" t="s">
        <v>2</v>
      </c>
      <c r="I2" s="81" t="s">
        <v>54</v>
      </c>
      <c r="J2" s="82" t="s">
        <v>3</v>
      </c>
      <c r="K2" s="49" t="s">
        <v>70</v>
      </c>
      <c r="L2" s="49" t="s">
        <v>56</v>
      </c>
    </row>
    <row r="3" s="36" customFormat="1" ht="23" customHeight="1" spans="1:12">
      <c r="A3" s="52" t="s">
        <v>5</v>
      </c>
      <c r="B3" s="53" t="s">
        <v>6</v>
      </c>
      <c r="C3" s="54" t="s">
        <v>7</v>
      </c>
      <c r="D3" s="55" t="s">
        <v>8</v>
      </c>
      <c r="E3" s="56"/>
      <c r="F3" s="56"/>
      <c r="G3" s="57"/>
      <c r="H3" s="58" t="s">
        <v>9</v>
      </c>
      <c r="I3" s="60" t="s">
        <v>10</v>
      </c>
      <c r="J3" s="54" t="s">
        <v>11</v>
      </c>
      <c r="K3" s="54" t="s">
        <v>12</v>
      </c>
      <c r="L3" s="52" t="s">
        <v>13</v>
      </c>
    </row>
    <row r="4" s="36" customFormat="1" ht="23" customHeight="1" spans="1:12">
      <c r="A4" s="52"/>
      <c r="B4" s="59"/>
      <c r="C4" s="59"/>
      <c r="D4" s="60">
        <v>0.8</v>
      </c>
      <c r="E4" s="60">
        <v>1</v>
      </c>
      <c r="F4" s="60">
        <v>1.1</v>
      </c>
      <c r="G4" s="60">
        <v>1.2</v>
      </c>
      <c r="H4" s="61"/>
      <c r="I4" s="60"/>
      <c r="J4" s="83"/>
      <c r="K4" s="83"/>
      <c r="L4" s="83" t="s">
        <v>14</v>
      </c>
    </row>
    <row r="5" s="36" customFormat="1" ht="36" customHeight="1" spans="1:13">
      <c r="A5" s="62" t="s">
        <v>15</v>
      </c>
      <c r="B5" s="62" t="s">
        <v>16</v>
      </c>
      <c r="C5" s="32">
        <v>25</v>
      </c>
      <c r="D5" s="13" t="s">
        <v>17</v>
      </c>
      <c r="E5" s="13" t="s">
        <v>18</v>
      </c>
      <c r="F5" s="13" t="s">
        <v>19</v>
      </c>
      <c r="G5" s="63" t="s">
        <v>20</v>
      </c>
      <c r="H5" s="64">
        <v>0.2551</v>
      </c>
      <c r="I5" s="14" t="s">
        <v>21</v>
      </c>
      <c r="J5" s="14" t="s">
        <v>22</v>
      </c>
      <c r="K5" s="14" t="s">
        <v>23</v>
      </c>
      <c r="L5" s="18">
        <f>C5*F4</f>
        <v>27.5</v>
      </c>
      <c r="M5" s="84"/>
    </row>
    <row r="6" s="36" customFormat="1" ht="42" customHeight="1" spans="1:13">
      <c r="A6" s="62" t="s">
        <v>24</v>
      </c>
      <c r="B6" s="62" t="s">
        <v>25</v>
      </c>
      <c r="C6" s="32">
        <v>25</v>
      </c>
      <c r="D6" s="13" t="s">
        <v>26</v>
      </c>
      <c r="E6" s="13" t="s">
        <v>27</v>
      </c>
      <c r="F6" s="13" t="s">
        <v>28</v>
      </c>
      <c r="G6" s="63" t="s">
        <v>29</v>
      </c>
      <c r="H6" s="64">
        <v>0.1859</v>
      </c>
      <c r="I6" s="14" t="s">
        <v>30</v>
      </c>
      <c r="J6" s="14" t="s">
        <v>22</v>
      </c>
      <c r="K6" s="14" t="s">
        <v>23</v>
      </c>
      <c r="L6" s="18">
        <f>C6*E4</f>
        <v>25</v>
      </c>
      <c r="M6" s="84"/>
    </row>
    <row r="7" s="36" customFormat="1" ht="52" customHeight="1" spans="1:12">
      <c r="A7" s="62" t="s">
        <v>31</v>
      </c>
      <c r="B7" s="62" t="s">
        <v>32</v>
      </c>
      <c r="C7" s="32">
        <v>35</v>
      </c>
      <c r="D7" s="13" t="s">
        <v>33</v>
      </c>
      <c r="E7" s="13" t="s">
        <v>34</v>
      </c>
      <c r="F7" s="13" t="s">
        <v>35</v>
      </c>
      <c r="G7" s="13" t="s">
        <v>36</v>
      </c>
      <c r="H7" s="65">
        <v>2.1448</v>
      </c>
      <c r="I7" s="14" t="s">
        <v>30</v>
      </c>
      <c r="J7" s="14" t="s">
        <v>22</v>
      </c>
      <c r="K7" s="14" t="s">
        <v>23</v>
      </c>
      <c r="L7" s="14">
        <f>C7*G4</f>
        <v>42</v>
      </c>
    </row>
    <row r="8" s="36" customFormat="1" ht="33" customHeight="1" spans="1:13">
      <c r="A8" s="62" t="s">
        <v>37</v>
      </c>
      <c r="B8" s="62" t="s">
        <v>38</v>
      </c>
      <c r="C8" s="32">
        <v>15</v>
      </c>
      <c r="D8" s="13" t="s">
        <v>39</v>
      </c>
      <c r="E8" s="13" t="s">
        <v>40</v>
      </c>
      <c r="F8" s="13" t="s">
        <v>41</v>
      </c>
      <c r="G8" s="63">
        <v>0</v>
      </c>
      <c r="H8" s="64">
        <v>0.3309</v>
      </c>
      <c r="I8" s="14" t="s">
        <v>21</v>
      </c>
      <c r="J8" s="14" t="s">
        <v>22</v>
      </c>
      <c r="K8" s="14" t="s">
        <v>23</v>
      </c>
      <c r="L8" s="18">
        <v>0</v>
      </c>
      <c r="M8" s="85">
        <f>1279/3865</f>
        <v>0.330918499353169</v>
      </c>
    </row>
    <row r="9" s="36" customFormat="1" ht="23" customHeight="1" spans="1:12">
      <c r="A9" s="66" t="s">
        <v>42</v>
      </c>
      <c r="B9" s="67"/>
      <c r="C9" s="68" t="s">
        <v>43</v>
      </c>
      <c r="D9" s="69"/>
      <c r="E9" s="70"/>
      <c r="F9" s="71"/>
      <c r="G9" s="72"/>
      <c r="H9" s="73" t="s">
        <v>44</v>
      </c>
      <c r="I9" s="12">
        <f>L9</f>
        <v>94.5</v>
      </c>
      <c r="J9" s="14"/>
      <c r="K9" s="14"/>
      <c r="L9" s="12">
        <f>SUM(L5:L8)</f>
        <v>94.5</v>
      </c>
    </row>
    <row r="10" s="36" customFormat="1" ht="23" customHeight="1" spans="1:12">
      <c r="A10" s="12" t="s">
        <v>45</v>
      </c>
      <c r="B10" s="74" t="s">
        <v>46</v>
      </c>
      <c r="C10" s="75"/>
      <c r="D10" s="75"/>
      <c r="E10" s="75"/>
      <c r="F10" s="75"/>
      <c r="G10" s="76"/>
      <c r="H10" s="73" t="s">
        <v>47</v>
      </c>
      <c r="I10" s="12"/>
      <c r="J10" s="14"/>
      <c r="K10" s="14"/>
      <c r="L10" s="12"/>
    </row>
    <row r="11" s="43" customFormat="1" ht="22" customHeight="1" spans="1:9">
      <c r="A11" s="49" t="s">
        <v>48</v>
      </c>
      <c r="B11" s="50"/>
      <c r="C11" s="49"/>
      <c r="D11" s="49"/>
      <c r="E11" s="49"/>
      <c r="F11" s="49"/>
      <c r="G11" s="49"/>
      <c r="H11" s="77"/>
      <c r="I11" s="49"/>
    </row>
    <row r="12" s="43" customFormat="1" ht="22" customHeight="1" spans="1:9">
      <c r="A12" s="49" t="s">
        <v>49</v>
      </c>
      <c r="B12" s="50"/>
      <c r="C12" s="49"/>
      <c r="D12" s="49"/>
      <c r="E12" s="49"/>
      <c r="F12" s="49"/>
      <c r="G12" s="49"/>
      <c r="H12" s="77"/>
      <c r="I12" s="49"/>
    </row>
    <row r="13" s="43" customFormat="1" ht="34" customHeight="1" spans="1:11">
      <c r="A13" s="78" t="s">
        <v>50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="43" customFormat="1" ht="22" customHeight="1" spans="1:8">
      <c r="A14" s="43" t="s">
        <v>51</v>
      </c>
      <c r="H14" s="79"/>
    </row>
    <row r="15" s="43" customFormat="1" ht="36" customHeight="1" spans="1:11">
      <c r="A15" s="78" t="s">
        <v>52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s="43" customFormat="1" ht="22" customHeight="1" spans="1:8">
      <c r="A16" s="27" t="s">
        <v>57</v>
      </c>
      <c r="B16" s="39" t="s">
        <v>34</v>
      </c>
      <c r="C16" s="27" t="s">
        <v>58</v>
      </c>
      <c r="D16" s="27" t="s">
        <v>59</v>
      </c>
      <c r="E16" s="27" t="s">
        <v>60</v>
      </c>
      <c r="F16" s="27" t="s">
        <v>61</v>
      </c>
      <c r="G16" s="27" t="s">
        <v>62</v>
      </c>
      <c r="H16" s="27" t="s">
        <v>63</v>
      </c>
    </row>
    <row r="17" s="43" customFormat="1" ht="22" customHeight="1" spans="1:8">
      <c r="A17" s="27" t="s">
        <v>64</v>
      </c>
      <c r="B17" s="40">
        <v>5000</v>
      </c>
      <c r="C17" s="41">
        <v>5000</v>
      </c>
      <c r="D17" s="41">
        <v>5000</v>
      </c>
      <c r="E17" s="41">
        <v>7000</v>
      </c>
      <c r="F17" s="41">
        <v>7000</v>
      </c>
      <c r="G17" s="41">
        <v>8000</v>
      </c>
      <c r="H17" s="41">
        <v>8000</v>
      </c>
    </row>
    <row r="18" s="43" customFormat="1" ht="22" customHeight="1" spans="1:8">
      <c r="A18" s="27" t="s">
        <v>65</v>
      </c>
      <c r="B18" s="87" t="s">
        <v>66</v>
      </c>
      <c r="C18" s="27">
        <v>0.5</v>
      </c>
      <c r="D18" s="27">
        <v>0.7</v>
      </c>
      <c r="E18" s="27">
        <v>0.9</v>
      </c>
      <c r="F18" s="27">
        <v>1.1</v>
      </c>
      <c r="G18" s="27">
        <v>1.3</v>
      </c>
      <c r="H18" s="27">
        <v>1.5</v>
      </c>
    </row>
    <row r="19" s="43" customFormat="1" ht="22" customHeight="1" spans="1:8">
      <c r="A19" s="27" t="s">
        <v>67</v>
      </c>
      <c r="B19" s="27">
        <f t="shared" ref="B19:H19" si="0">B18*2000</f>
        <v>600</v>
      </c>
      <c r="C19" s="27">
        <f t="shared" si="0"/>
        <v>1000</v>
      </c>
      <c r="D19" s="27">
        <f t="shared" si="0"/>
        <v>1400</v>
      </c>
      <c r="E19" s="27">
        <f t="shared" si="0"/>
        <v>1800</v>
      </c>
      <c r="F19" s="27">
        <f t="shared" si="0"/>
        <v>2200</v>
      </c>
      <c r="G19" s="27">
        <f t="shared" si="0"/>
        <v>2600</v>
      </c>
      <c r="H19" s="27">
        <f t="shared" si="0"/>
        <v>3000</v>
      </c>
    </row>
    <row r="20" s="43" customFormat="1" ht="22" customHeight="1" spans="1:8">
      <c r="A20" s="43" t="s">
        <v>71</v>
      </c>
      <c r="B20" s="43">
        <v>-18.84</v>
      </c>
      <c r="H20" s="79"/>
    </row>
    <row r="21" s="43" customFormat="1" ht="22" customHeight="1" spans="8:8">
      <c r="H21" s="79"/>
    </row>
    <row r="22" s="43" customFormat="1" ht="22" customHeight="1" spans="8:8">
      <c r="H22" s="79"/>
    </row>
    <row r="23" s="43" customFormat="1" ht="22" customHeight="1" spans="8:8">
      <c r="H23" s="79"/>
    </row>
    <row r="24" s="43" customFormat="1" ht="22" customHeight="1" spans="8:8">
      <c r="H24" s="79"/>
    </row>
    <row r="25" s="43" customFormat="1" ht="22" customHeight="1" spans="8:8">
      <c r="H25" s="79"/>
    </row>
    <row r="26" s="43" customFormat="1" ht="22" customHeight="1" spans="8:8">
      <c r="H26" s="79"/>
    </row>
    <row r="27" s="43" customFormat="1" ht="22" customHeight="1" spans="8:8">
      <c r="H27" s="79"/>
    </row>
    <row r="28" s="43" customFormat="1" ht="22" customHeight="1" spans="8:8">
      <c r="H28" s="79"/>
    </row>
    <row r="29" s="43" customFormat="1" ht="22" customHeight="1" spans="8:8">
      <c r="H29" s="79"/>
    </row>
    <row r="30" s="43" customFormat="1" ht="22" customHeight="1" spans="8:8">
      <c r="H30" s="79"/>
    </row>
    <row r="31" s="43" customFormat="1" ht="22" customHeight="1" spans="8:8">
      <c r="H31" s="79"/>
    </row>
    <row r="32" s="43" customFormat="1" ht="22" customHeight="1" spans="8:8">
      <c r="H32" s="79"/>
    </row>
    <row r="33" s="43" customFormat="1" ht="22" customHeight="1" spans="8:8">
      <c r="H33" s="79"/>
    </row>
    <row r="34" s="43" customFormat="1" ht="22" customHeight="1" spans="8:8">
      <c r="H34" s="79"/>
    </row>
    <row r="35" s="43" customFormat="1" ht="22" customHeight="1" spans="8:8">
      <c r="H35" s="79"/>
    </row>
    <row r="36" s="43" customFormat="1" ht="22" customHeight="1" spans="8:8">
      <c r="H36" s="79"/>
    </row>
    <row r="37" s="43" customFormat="1" ht="22" customHeight="1" spans="8:8">
      <c r="H37" s="79"/>
    </row>
    <row r="38" s="43" customFormat="1" ht="22" customHeight="1" spans="8:8">
      <c r="H38" s="79"/>
    </row>
    <row r="39" s="42" customFormat="1" ht="22" customHeight="1" spans="8:8">
      <c r="H39" s="44"/>
    </row>
    <row r="40" s="42" customFormat="1" ht="22" customHeight="1" spans="8:8">
      <c r="H40" s="44"/>
    </row>
    <row r="41" s="42" customFormat="1" ht="22" customHeight="1" spans="8:8">
      <c r="H41" s="44"/>
    </row>
    <row r="42" s="42" customFormat="1" ht="22" customHeight="1" spans="8:8">
      <c r="H42" s="44"/>
    </row>
  </sheetData>
  <mergeCells count="14">
    <mergeCell ref="A1:L1"/>
    <mergeCell ref="D3:G3"/>
    <mergeCell ref="C9:E9"/>
    <mergeCell ref="F9:G9"/>
    <mergeCell ref="B10:G10"/>
    <mergeCell ref="A13:K13"/>
    <mergeCell ref="A15:K15"/>
    <mergeCell ref="A3:A4"/>
    <mergeCell ref="B3:B4"/>
    <mergeCell ref="C3:C4"/>
    <mergeCell ref="H3:H4"/>
    <mergeCell ref="I3:I4"/>
    <mergeCell ref="J3:J4"/>
    <mergeCell ref="K3:K4"/>
  </mergeCells>
  <pageMargins left="0.75" right="0.75" top="1" bottom="1" header="0.5" footer="0.5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pane ySplit="4" topLeftCell="A5" activePane="bottomLeft" state="frozen"/>
      <selection/>
      <selection pane="bottomLeft" activeCell="A22" sqref="A22"/>
    </sheetView>
  </sheetViews>
  <sheetFormatPr defaultColWidth="9" defaultRowHeight="13.5"/>
  <cols>
    <col min="1" max="1" width="11.5083333333333" style="42" customWidth="1"/>
    <col min="2" max="2" width="30.625" style="42" customWidth="1"/>
    <col min="3" max="3" width="7.875" style="42" customWidth="1"/>
    <col min="4" max="7" width="8" style="42" customWidth="1"/>
    <col min="8" max="8" width="8" style="44" customWidth="1"/>
    <col min="9" max="10" width="8" style="42" customWidth="1"/>
    <col min="11" max="12" width="7.125" style="42" customWidth="1"/>
    <col min="13" max="13" width="39.875" style="42" customWidth="1"/>
    <col min="14" max="16381" width="9" style="42"/>
    <col min="16382" max="16384" width="9" style="45"/>
  </cols>
  <sheetData>
    <row r="1" s="42" customFormat="1" ht="23" customHeight="1" spans="1:12">
      <c r="A1" s="46" t="s">
        <v>53</v>
      </c>
      <c r="B1" s="47"/>
      <c r="C1" s="47"/>
      <c r="D1" s="47"/>
      <c r="E1" s="47"/>
      <c r="F1" s="47"/>
      <c r="G1" s="47"/>
      <c r="H1" s="48"/>
      <c r="I1" s="47"/>
      <c r="J1" s="47"/>
      <c r="K1" s="47"/>
      <c r="L1" s="47"/>
    </row>
    <row r="2" s="42" customFormat="1" ht="23" customHeight="1" spans="1:12">
      <c r="A2" s="49"/>
      <c r="B2" s="50" t="s">
        <v>1</v>
      </c>
      <c r="C2" s="49"/>
      <c r="D2" s="49"/>
      <c r="E2" s="49"/>
      <c r="F2" s="49"/>
      <c r="G2" s="49"/>
      <c r="H2" s="51" t="s">
        <v>2</v>
      </c>
      <c r="I2" s="81" t="s">
        <v>54</v>
      </c>
      <c r="J2" s="82" t="s">
        <v>3</v>
      </c>
      <c r="K2" s="49" t="s">
        <v>72</v>
      </c>
      <c r="L2" s="49" t="s">
        <v>56</v>
      </c>
    </row>
    <row r="3" s="36" customFormat="1" ht="23" customHeight="1" spans="1:12">
      <c r="A3" s="52" t="s">
        <v>5</v>
      </c>
      <c r="B3" s="53" t="s">
        <v>6</v>
      </c>
      <c r="C3" s="54" t="s">
        <v>7</v>
      </c>
      <c r="D3" s="55" t="s">
        <v>8</v>
      </c>
      <c r="E3" s="56"/>
      <c r="F3" s="56"/>
      <c r="G3" s="57"/>
      <c r="H3" s="58" t="s">
        <v>9</v>
      </c>
      <c r="I3" s="60" t="s">
        <v>10</v>
      </c>
      <c r="J3" s="54" t="s">
        <v>11</v>
      </c>
      <c r="K3" s="54" t="s">
        <v>12</v>
      </c>
      <c r="L3" s="52" t="s">
        <v>13</v>
      </c>
    </row>
    <row r="4" s="36" customFormat="1" ht="23" customHeight="1" spans="1:12">
      <c r="A4" s="52"/>
      <c r="B4" s="59"/>
      <c r="C4" s="59"/>
      <c r="D4" s="60">
        <v>0.8</v>
      </c>
      <c r="E4" s="60">
        <v>1</v>
      </c>
      <c r="F4" s="60">
        <v>1.1</v>
      </c>
      <c r="G4" s="60">
        <v>1.2</v>
      </c>
      <c r="H4" s="61"/>
      <c r="I4" s="60"/>
      <c r="J4" s="83"/>
      <c r="K4" s="83"/>
      <c r="L4" s="83" t="s">
        <v>14</v>
      </c>
    </row>
    <row r="5" s="36" customFormat="1" ht="36" customHeight="1" spans="1:13">
      <c r="A5" s="62" t="s">
        <v>15</v>
      </c>
      <c r="B5" s="62" t="s">
        <v>16</v>
      </c>
      <c r="C5" s="32">
        <v>25</v>
      </c>
      <c r="D5" s="13" t="s">
        <v>17</v>
      </c>
      <c r="E5" s="13" t="s">
        <v>18</v>
      </c>
      <c r="F5" s="13" t="s">
        <v>19</v>
      </c>
      <c r="G5" s="63" t="s">
        <v>20</v>
      </c>
      <c r="H5" s="64">
        <v>0.2918</v>
      </c>
      <c r="I5" s="14" t="s">
        <v>21</v>
      </c>
      <c r="J5" s="14" t="s">
        <v>22</v>
      </c>
      <c r="K5" s="14" t="s">
        <v>23</v>
      </c>
      <c r="L5" s="18">
        <f>C5*E4</f>
        <v>25</v>
      </c>
      <c r="M5" s="84"/>
    </row>
    <row r="6" s="36" customFormat="1" ht="42" customHeight="1" spans="1:13">
      <c r="A6" s="62" t="s">
        <v>24</v>
      </c>
      <c r="B6" s="62" t="s">
        <v>25</v>
      </c>
      <c r="C6" s="32">
        <v>25</v>
      </c>
      <c r="D6" s="13" t="s">
        <v>26</v>
      </c>
      <c r="E6" s="13" t="s">
        <v>27</v>
      </c>
      <c r="F6" s="13" t="s">
        <v>28</v>
      </c>
      <c r="G6" s="63" t="s">
        <v>29</v>
      </c>
      <c r="H6" s="64">
        <v>0.1861</v>
      </c>
      <c r="I6" s="14" t="s">
        <v>30</v>
      </c>
      <c r="J6" s="14" t="s">
        <v>22</v>
      </c>
      <c r="K6" s="14" t="s">
        <v>23</v>
      </c>
      <c r="L6" s="18">
        <f>C6*E4</f>
        <v>25</v>
      </c>
      <c r="M6" s="84"/>
    </row>
    <row r="7" s="36" customFormat="1" ht="52" customHeight="1" spans="1:12">
      <c r="A7" s="62" t="s">
        <v>31</v>
      </c>
      <c r="B7" s="62" t="s">
        <v>32</v>
      </c>
      <c r="C7" s="32">
        <v>35</v>
      </c>
      <c r="D7" s="13" t="s">
        <v>33</v>
      </c>
      <c r="E7" s="13" t="s">
        <v>34</v>
      </c>
      <c r="F7" s="13" t="s">
        <v>35</v>
      </c>
      <c r="G7" s="13" t="s">
        <v>36</v>
      </c>
      <c r="H7" s="65">
        <v>1.2927</v>
      </c>
      <c r="I7" s="14" t="s">
        <v>30</v>
      </c>
      <c r="J7" s="14" t="s">
        <v>22</v>
      </c>
      <c r="K7" s="14" t="s">
        <v>23</v>
      </c>
      <c r="L7" s="14">
        <v>0</v>
      </c>
    </row>
    <row r="8" s="36" customFormat="1" ht="33" customHeight="1" spans="1:13">
      <c r="A8" s="62" t="s">
        <v>37</v>
      </c>
      <c r="B8" s="62" t="s">
        <v>38</v>
      </c>
      <c r="C8" s="32">
        <v>15</v>
      </c>
      <c r="D8" s="13" t="s">
        <v>39</v>
      </c>
      <c r="E8" s="13" t="s">
        <v>40</v>
      </c>
      <c r="F8" s="13" t="s">
        <v>41</v>
      </c>
      <c r="G8" s="63">
        <v>0</v>
      </c>
      <c r="H8" s="64">
        <v>0.2781</v>
      </c>
      <c r="I8" s="14" t="s">
        <v>21</v>
      </c>
      <c r="J8" s="14" t="s">
        <v>22</v>
      </c>
      <c r="K8" s="14" t="s">
        <v>23</v>
      </c>
      <c r="L8" s="18">
        <v>0</v>
      </c>
      <c r="M8" s="85">
        <f>2508/6777</f>
        <v>0.370075254537406</v>
      </c>
    </row>
    <row r="9" s="36" customFormat="1" ht="23" customHeight="1" spans="1:12">
      <c r="A9" s="66" t="s">
        <v>42</v>
      </c>
      <c r="B9" s="67"/>
      <c r="C9" s="68" t="s">
        <v>43</v>
      </c>
      <c r="D9" s="69"/>
      <c r="E9" s="70"/>
      <c r="F9" s="71"/>
      <c r="G9" s="72"/>
      <c r="H9" s="73" t="s">
        <v>44</v>
      </c>
      <c r="I9" s="12"/>
      <c r="J9" s="14"/>
      <c r="K9" s="14"/>
      <c r="L9" s="12">
        <f>SUM(L5:L8)</f>
        <v>50</v>
      </c>
    </row>
    <row r="10" s="36" customFormat="1" ht="23" customHeight="1" spans="1:12">
      <c r="A10" s="12" t="s">
        <v>45</v>
      </c>
      <c r="B10" s="74" t="s">
        <v>46</v>
      </c>
      <c r="C10" s="75"/>
      <c r="D10" s="75"/>
      <c r="E10" s="75"/>
      <c r="F10" s="75"/>
      <c r="G10" s="76"/>
      <c r="H10" s="73" t="s">
        <v>47</v>
      </c>
      <c r="I10" s="12"/>
      <c r="J10" s="14"/>
      <c r="K10" s="14"/>
      <c r="L10" s="12"/>
    </row>
    <row r="11" s="43" customFormat="1" ht="22" customHeight="1" spans="1:9">
      <c r="A11" s="49" t="s">
        <v>48</v>
      </c>
      <c r="B11" s="50"/>
      <c r="C11" s="49"/>
      <c r="D11" s="49"/>
      <c r="E11" s="49"/>
      <c r="F11" s="49"/>
      <c r="G11" s="49"/>
      <c r="H11" s="77"/>
      <c r="I11" s="49"/>
    </row>
    <row r="12" s="43" customFormat="1" ht="22" customHeight="1" spans="1:9">
      <c r="A12" s="49" t="s">
        <v>49</v>
      </c>
      <c r="B12" s="50"/>
      <c r="C12" s="49"/>
      <c r="D12" s="49"/>
      <c r="E12" s="49"/>
      <c r="F12" s="49"/>
      <c r="G12" s="49"/>
      <c r="H12" s="77"/>
      <c r="I12" s="49"/>
    </row>
    <row r="13" s="43" customFormat="1" ht="34" customHeight="1" spans="1:11">
      <c r="A13" s="78" t="s">
        <v>50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="43" customFormat="1" ht="22" customHeight="1" spans="1:8">
      <c r="A14" s="43" t="s">
        <v>51</v>
      </c>
      <c r="H14" s="79"/>
    </row>
    <row r="15" s="43" customFormat="1" ht="36" customHeight="1" spans="1:11">
      <c r="A15" s="78" t="s">
        <v>52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</row>
    <row r="16" s="43" customFormat="1" ht="22" customHeight="1" spans="8:8">
      <c r="H16" s="79"/>
    </row>
    <row r="17" s="43" customFormat="1" ht="22" customHeight="1" spans="1:8">
      <c r="A17" s="27" t="s">
        <v>57</v>
      </c>
      <c r="B17" s="39" t="s">
        <v>34</v>
      </c>
      <c r="C17" s="27" t="s">
        <v>58</v>
      </c>
      <c r="D17" s="27" t="s">
        <v>59</v>
      </c>
      <c r="E17" s="27" t="s">
        <v>60</v>
      </c>
      <c r="F17" s="27" t="s">
        <v>61</v>
      </c>
      <c r="G17" s="27" t="s">
        <v>62</v>
      </c>
      <c r="H17" s="27" t="s">
        <v>63</v>
      </c>
    </row>
    <row r="18" s="43" customFormat="1" ht="22" customHeight="1" spans="1:8">
      <c r="A18" s="27" t="s">
        <v>64</v>
      </c>
      <c r="B18" s="40">
        <v>5000</v>
      </c>
      <c r="C18" s="41">
        <v>5000</v>
      </c>
      <c r="D18" s="41">
        <v>5000</v>
      </c>
      <c r="E18" s="41">
        <v>7000</v>
      </c>
      <c r="F18" s="41">
        <v>7000</v>
      </c>
      <c r="G18" s="41">
        <v>8000</v>
      </c>
      <c r="H18" s="41">
        <v>8000</v>
      </c>
    </row>
    <row r="19" s="43" customFormat="1" ht="22" customHeight="1" spans="1:8">
      <c r="A19" s="27" t="s">
        <v>65</v>
      </c>
      <c r="B19" s="87" t="s">
        <v>66</v>
      </c>
      <c r="C19" s="27">
        <v>0.5</v>
      </c>
      <c r="D19" s="27">
        <v>0.7</v>
      </c>
      <c r="E19" s="27">
        <v>0.9</v>
      </c>
      <c r="F19" s="27">
        <v>1.1</v>
      </c>
      <c r="G19" s="27">
        <v>1.3</v>
      </c>
      <c r="H19" s="27">
        <v>1.5</v>
      </c>
    </row>
    <row r="20" s="43" customFormat="1" ht="22" customHeight="1" spans="1:8">
      <c r="A20" s="27" t="s">
        <v>67</v>
      </c>
      <c r="B20" s="27">
        <f t="shared" ref="B20:H20" si="0">B19*2000</f>
        <v>600</v>
      </c>
      <c r="C20" s="27">
        <f t="shared" si="0"/>
        <v>1000</v>
      </c>
      <c r="D20" s="27">
        <f t="shared" si="0"/>
        <v>1400</v>
      </c>
      <c r="E20" s="27">
        <f t="shared" si="0"/>
        <v>1800</v>
      </c>
      <c r="F20" s="27">
        <f t="shared" si="0"/>
        <v>2200</v>
      </c>
      <c r="G20" s="27">
        <f t="shared" si="0"/>
        <v>2600</v>
      </c>
      <c r="H20" s="27">
        <f t="shared" si="0"/>
        <v>3000</v>
      </c>
    </row>
    <row r="21" s="43" customFormat="1" ht="22" customHeight="1" spans="1:8">
      <c r="A21" s="43" t="s">
        <v>68</v>
      </c>
      <c r="B21" s="43">
        <v>-33.8</v>
      </c>
      <c r="H21" s="79"/>
    </row>
    <row r="22" s="43" customFormat="1" ht="22" customHeight="1" spans="8:8">
      <c r="H22" s="79"/>
    </row>
    <row r="23" s="43" customFormat="1" ht="22" customHeight="1" spans="8:8">
      <c r="H23" s="79"/>
    </row>
    <row r="24" s="43" customFormat="1" ht="22" customHeight="1" spans="8:8">
      <c r="H24" s="79"/>
    </row>
    <row r="25" s="43" customFormat="1" ht="22" customHeight="1" spans="8:8">
      <c r="H25" s="79"/>
    </row>
    <row r="26" s="43" customFormat="1" ht="22" customHeight="1" spans="8:8">
      <c r="H26" s="79"/>
    </row>
    <row r="27" s="43" customFormat="1" ht="22" customHeight="1" spans="8:8">
      <c r="H27" s="79"/>
    </row>
    <row r="28" s="43" customFormat="1" ht="22" customHeight="1" spans="8:8">
      <c r="H28" s="79"/>
    </row>
    <row r="29" s="43" customFormat="1" ht="22" customHeight="1" spans="8:8">
      <c r="H29" s="79"/>
    </row>
    <row r="30" s="43" customFormat="1" ht="22" customHeight="1" spans="8:8">
      <c r="H30" s="79"/>
    </row>
    <row r="31" s="43" customFormat="1" ht="22" customHeight="1" spans="8:8">
      <c r="H31" s="79"/>
    </row>
    <row r="32" s="43" customFormat="1" ht="22" customHeight="1" spans="8:8">
      <c r="H32" s="79"/>
    </row>
    <row r="33" s="43" customFormat="1" ht="22" customHeight="1" spans="8:8">
      <c r="H33" s="79"/>
    </row>
    <row r="34" s="43" customFormat="1" ht="22" customHeight="1" spans="8:8">
      <c r="H34" s="79"/>
    </row>
    <row r="35" s="43" customFormat="1" ht="22" customHeight="1" spans="8:8">
      <c r="H35" s="79"/>
    </row>
    <row r="36" s="43" customFormat="1" ht="22" customHeight="1" spans="8:8">
      <c r="H36" s="79"/>
    </row>
    <row r="37" s="43" customFormat="1" ht="22" customHeight="1" spans="8:8">
      <c r="H37" s="79"/>
    </row>
    <row r="38" s="43" customFormat="1" ht="22" customHeight="1" spans="8:8">
      <c r="H38" s="79"/>
    </row>
    <row r="39" s="42" customFormat="1" ht="22" customHeight="1" spans="8:8">
      <c r="H39" s="44"/>
    </row>
    <row r="40" s="42" customFormat="1" ht="22" customHeight="1" spans="8:8">
      <c r="H40" s="44"/>
    </row>
    <row r="41" s="42" customFormat="1" ht="22" customHeight="1" spans="8:8">
      <c r="H41" s="44"/>
    </row>
    <row r="42" s="42" customFormat="1" ht="22" customHeight="1" spans="8:8">
      <c r="H42" s="44"/>
    </row>
  </sheetData>
  <mergeCells count="14">
    <mergeCell ref="A1:L1"/>
    <mergeCell ref="D3:G3"/>
    <mergeCell ref="C9:E9"/>
    <mergeCell ref="F9:G9"/>
    <mergeCell ref="B10:G10"/>
    <mergeCell ref="A13:K13"/>
    <mergeCell ref="A15:K15"/>
    <mergeCell ref="A3:A4"/>
    <mergeCell ref="B3:B4"/>
    <mergeCell ref="C3:C4"/>
    <mergeCell ref="H3:H4"/>
    <mergeCell ref="I3:I4"/>
    <mergeCell ref="J3:J4"/>
    <mergeCell ref="K3:K4"/>
  </mergeCells>
  <pageMargins left="0.75" right="0.75" top="1" bottom="1" header="0.5" footer="0.5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8.725" defaultRowHeight="13.5" outlineLevelRow="3" outlineLevelCol="7"/>
  <cols>
    <col min="1" max="1" width="15.4583333333333" style="38" customWidth="1"/>
    <col min="2" max="7" width="8.725" style="38"/>
    <col min="8" max="8" width="9.54166666666667" style="38"/>
    <col min="9" max="16384" width="8.725" style="38"/>
  </cols>
  <sheetData>
    <row r="1" ht="32" customHeight="1" spans="1:8">
      <c r="A1" s="27" t="s">
        <v>57</v>
      </c>
      <c r="B1" s="39" t="s">
        <v>34</v>
      </c>
      <c r="C1" s="27" t="s">
        <v>58</v>
      </c>
      <c r="D1" s="27" t="s">
        <v>59</v>
      </c>
      <c r="E1" s="27" t="s">
        <v>60</v>
      </c>
      <c r="F1" s="27" t="s">
        <v>61</v>
      </c>
      <c r="G1" s="27" t="s">
        <v>62</v>
      </c>
      <c r="H1" s="27" t="s">
        <v>63</v>
      </c>
    </row>
    <row r="2" ht="32" customHeight="1" spans="1:8">
      <c r="A2" s="27" t="s">
        <v>64</v>
      </c>
      <c r="B2" s="40">
        <v>5000</v>
      </c>
      <c r="C2" s="41">
        <v>5000</v>
      </c>
      <c r="D2" s="41">
        <v>5000</v>
      </c>
      <c r="E2" s="41">
        <v>7000</v>
      </c>
      <c r="F2" s="41">
        <v>7000</v>
      </c>
      <c r="G2" s="41">
        <v>8000</v>
      </c>
      <c r="H2" s="41">
        <v>8000</v>
      </c>
    </row>
    <row r="3" ht="32" customHeight="1" spans="1:8">
      <c r="A3" s="27" t="s">
        <v>65</v>
      </c>
      <c r="B3" s="87" t="s">
        <v>66</v>
      </c>
      <c r="C3" s="27">
        <v>0.5</v>
      </c>
      <c r="D3" s="27">
        <v>0.7</v>
      </c>
      <c r="E3" s="27">
        <v>0.9</v>
      </c>
      <c r="F3" s="27">
        <v>1.1</v>
      </c>
      <c r="G3" s="27">
        <v>1.3</v>
      </c>
      <c r="H3" s="27">
        <v>1.5</v>
      </c>
    </row>
    <row r="4" ht="32" customHeight="1" spans="1:8">
      <c r="A4" s="27" t="s">
        <v>67</v>
      </c>
      <c r="B4" s="27">
        <f>B3*2000</f>
        <v>600</v>
      </c>
      <c r="C4" s="27">
        <f t="shared" ref="C4:H4" si="0">C3*2000</f>
        <v>1000</v>
      </c>
      <c r="D4" s="27">
        <f t="shared" si="0"/>
        <v>1400</v>
      </c>
      <c r="E4" s="27">
        <f t="shared" si="0"/>
        <v>1800</v>
      </c>
      <c r="F4" s="27">
        <f t="shared" si="0"/>
        <v>2200</v>
      </c>
      <c r="G4" s="27">
        <f t="shared" si="0"/>
        <v>2600</v>
      </c>
      <c r="H4" s="27">
        <f t="shared" si="0"/>
        <v>3000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3" sqref="$A3:$XFD3"/>
    </sheetView>
  </sheetViews>
  <sheetFormatPr defaultColWidth="8.725" defaultRowHeight="13.5"/>
  <cols>
    <col min="1" max="2" width="9.625" customWidth="1"/>
    <col min="3" max="3" width="20.125" customWidth="1"/>
    <col min="4" max="4" width="7.25" customWidth="1"/>
    <col min="5" max="9" width="9.875" customWidth="1"/>
    <col min="10" max="13" width="5.25" customWidth="1"/>
    <col min="14" max="16" width="4.25" customWidth="1"/>
  </cols>
  <sheetData>
    <row r="1" s="1" customFormat="1" ht="15" customHeight="1" spans="1:16">
      <c r="A1" s="2" t="s">
        <v>73</v>
      </c>
      <c r="B1" s="3" t="s">
        <v>5</v>
      </c>
      <c r="C1" s="4" t="s">
        <v>6</v>
      </c>
      <c r="D1" s="5" t="s">
        <v>7</v>
      </c>
      <c r="E1" s="6" t="s">
        <v>8</v>
      </c>
      <c r="F1" s="7"/>
      <c r="G1" s="7"/>
      <c r="H1" s="7"/>
      <c r="I1" s="28"/>
      <c r="J1" s="29" t="s">
        <v>9</v>
      </c>
      <c r="K1" s="2" t="s">
        <v>10</v>
      </c>
      <c r="L1" s="5" t="s">
        <v>11</v>
      </c>
      <c r="M1" s="5" t="s">
        <v>12</v>
      </c>
      <c r="N1" s="3" t="s">
        <v>74</v>
      </c>
      <c r="O1" s="3"/>
      <c r="P1" s="3"/>
    </row>
    <row r="2" s="1" customFormat="1" ht="15" customHeight="1" spans="1:16">
      <c r="A2" s="3"/>
      <c r="B2" s="3"/>
      <c r="C2" s="8"/>
      <c r="D2" s="8"/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30"/>
      <c r="K2" s="2"/>
      <c r="L2" s="31"/>
      <c r="M2" s="31"/>
      <c r="N2" s="2" t="s">
        <v>14</v>
      </c>
      <c r="O2" s="2" t="s">
        <v>80</v>
      </c>
      <c r="P2" s="2" t="s">
        <v>81</v>
      </c>
    </row>
    <row r="3" s="1" customFormat="1" ht="51" customHeight="1" spans="1:16">
      <c r="A3" s="9" t="s">
        <v>82</v>
      </c>
      <c r="B3" s="10" t="s">
        <v>83</v>
      </c>
      <c r="C3" s="11" t="s">
        <v>84</v>
      </c>
      <c r="D3" s="12">
        <v>50</v>
      </c>
      <c r="E3" s="13" t="s">
        <v>85</v>
      </c>
      <c r="F3" s="13" t="s">
        <v>86</v>
      </c>
      <c r="G3" s="13" t="s">
        <v>87</v>
      </c>
      <c r="H3" s="13" t="s">
        <v>88</v>
      </c>
      <c r="I3" s="32" t="s">
        <v>89</v>
      </c>
      <c r="J3" s="25"/>
      <c r="K3" s="14" t="s">
        <v>90</v>
      </c>
      <c r="L3" s="14" t="s">
        <v>91</v>
      </c>
      <c r="M3" s="14" t="s">
        <v>92</v>
      </c>
      <c r="N3" s="33"/>
      <c r="O3" s="33"/>
      <c r="P3" s="33"/>
    </row>
    <row r="4" s="1" customFormat="1" ht="36" customHeight="1" spans="1:16">
      <c r="A4" s="14" t="s">
        <v>93</v>
      </c>
      <c r="B4" s="15" t="s">
        <v>94</v>
      </c>
      <c r="C4" s="11" t="s">
        <v>95</v>
      </c>
      <c r="D4" s="12">
        <v>30</v>
      </c>
      <c r="E4" s="16" t="s">
        <v>96</v>
      </c>
      <c r="F4" s="16" t="s">
        <v>97</v>
      </c>
      <c r="G4" s="16" t="s">
        <v>98</v>
      </c>
      <c r="H4" s="17" t="s">
        <v>99</v>
      </c>
      <c r="I4" s="17" t="s">
        <v>100</v>
      </c>
      <c r="J4" s="34"/>
      <c r="K4" s="14" t="s">
        <v>90</v>
      </c>
      <c r="L4" s="14" t="s">
        <v>91</v>
      </c>
      <c r="M4" s="14" t="s">
        <v>92</v>
      </c>
      <c r="N4" s="33"/>
      <c r="O4" s="33"/>
      <c r="P4" s="12"/>
    </row>
    <row r="5" s="1" customFormat="1" ht="40" customHeight="1" spans="1:16">
      <c r="A5" s="18" t="s">
        <v>101</v>
      </c>
      <c r="B5" s="19" t="s">
        <v>102</v>
      </c>
      <c r="C5" s="20" t="s">
        <v>103</v>
      </c>
      <c r="D5" s="21">
        <v>20</v>
      </c>
      <c r="E5" s="22">
        <v>0.04</v>
      </c>
      <c r="F5" s="23">
        <v>0.045</v>
      </c>
      <c r="G5" s="22">
        <v>0.05</v>
      </c>
      <c r="H5" s="23">
        <v>0.055</v>
      </c>
      <c r="I5" s="22">
        <v>0.06</v>
      </c>
      <c r="J5" s="35"/>
      <c r="K5" s="18" t="s">
        <v>90</v>
      </c>
      <c r="L5" s="18" t="s">
        <v>91</v>
      </c>
      <c r="M5" s="18" t="s">
        <v>92</v>
      </c>
      <c r="N5" s="33"/>
      <c r="O5" s="33"/>
      <c r="P5" s="12"/>
    </row>
    <row r="6" s="1" customFormat="1" ht="24" customHeight="1" spans="1:16">
      <c r="A6" s="14" t="s">
        <v>104</v>
      </c>
      <c r="B6" s="14"/>
      <c r="C6" s="24"/>
      <c r="D6" s="12" t="s">
        <v>105</v>
      </c>
      <c r="E6" s="25" t="s">
        <v>106</v>
      </c>
      <c r="F6" s="25" t="s">
        <v>107</v>
      </c>
      <c r="G6" s="26" t="s">
        <v>108</v>
      </c>
      <c r="H6" s="25" t="s">
        <v>109</v>
      </c>
      <c r="I6" s="26" t="s">
        <v>110</v>
      </c>
      <c r="J6" s="25"/>
      <c r="K6" s="14"/>
      <c r="L6" s="14"/>
      <c r="M6" s="14"/>
      <c r="N6" s="36"/>
      <c r="O6" s="36"/>
      <c r="P6" s="37"/>
    </row>
    <row r="7" ht="24" customHeight="1" spans="1:13">
      <c r="A7" s="27" t="s">
        <v>111</v>
      </c>
      <c r="B7" s="27" t="s">
        <v>112</v>
      </c>
      <c r="C7" s="27"/>
      <c r="D7" s="27"/>
      <c r="E7" s="27">
        <v>0</v>
      </c>
      <c r="F7" s="27">
        <v>0</v>
      </c>
      <c r="G7" s="27">
        <v>5000</v>
      </c>
      <c r="H7" s="27">
        <v>6000</v>
      </c>
      <c r="I7" s="27">
        <v>8000</v>
      </c>
      <c r="J7" s="27"/>
      <c r="K7" s="27"/>
      <c r="L7" s="27"/>
      <c r="M7" s="27"/>
    </row>
    <row r="8" ht="24" customHeight="1" spans="1:13">
      <c r="A8" s="27" t="s">
        <v>113</v>
      </c>
      <c r="B8" s="27"/>
      <c r="C8" s="27"/>
      <c r="D8" s="27"/>
      <c r="E8" s="27"/>
      <c r="F8" s="27" t="s">
        <v>114</v>
      </c>
      <c r="G8" s="27">
        <v>500</v>
      </c>
      <c r="H8" s="27">
        <v>600</v>
      </c>
      <c r="I8" s="27">
        <v>800</v>
      </c>
      <c r="J8" s="27"/>
      <c r="K8" s="27"/>
      <c r="L8" s="27"/>
      <c r="M8" s="27"/>
    </row>
    <row r="9" ht="24" customHeight="1" spans="1:13">
      <c r="A9" s="27" t="s">
        <v>111</v>
      </c>
      <c r="B9" s="27" t="s">
        <v>115</v>
      </c>
      <c r="C9" s="27"/>
      <c r="D9" s="27"/>
      <c r="E9" s="27">
        <v>0</v>
      </c>
      <c r="F9" s="27">
        <v>0</v>
      </c>
      <c r="G9" s="27">
        <v>3500</v>
      </c>
      <c r="H9" s="27">
        <v>4500</v>
      </c>
      <c r="I9" s="27">
        <v>6000</v>
      </c>
      <c r="J9" s="27"/>
      <c r="K9" s="27"/>
      <c r="L9" s="27"/>
      <c r="M9" s="27"/>
    </row>
    <row r="10" ht="24" customHeight="1" spans="1:13">
      <c r="A10" s="27" t="s">
        <v>113</v>
      </c>
      <c r="B10" s="27"/>
      <c r="C10" s="27"/>
      <c r="D10" s="27"/>
      <c r="E10" s="27"/>
      <c r="F10" s="27" t="s">
        <v>114</v>
      </c>
      <c r="G10" s="27">
        <v>400</v>
      </c>
      <c r="H10" s="27">
        <v>500</v>
      </c>
      <c r="I10" s="27">
        <v>600</v>
      </c>
      <c r="J10" s="27"/>
      <c r="K10" s="27"/>
      <c r="L10" s="27"/>
      <c r="M10" s="27"/>
    </row>
    <row r="11" ht="24" customHeight="1" spans="1:13">
      <c r="A11" s="27" t="s">
        <v>111</v>
      </c>
      <c r="B11" s="27" t="s">
        <v>116</v>
      </c>
      <c r="C11" s="27"/>
      <c r="D11" s="27"/>
      <c r="E11" s="27">
        <v>0</v>
      </c>
      <c r="F11" s="27">
        <v>0</v>
      </c>
      <c r="G11" s="27">
        <v>2500</v>
      </c>
      <c r="H11" s="27">
        <v>3500</v>
      </c>
      <c r="I11" s="27">
        <v>4500</v>
      </c>
      <c r="J11" s="27"/>
      <c r="K11" s="27"/>
      <c r="L11" s="27"/>
      <c r="M11" s="27"/>
    </row>
    <row r="12" ht="24" customHeight="1" spans="1:13">
      <c r="A12" s="27" t="s">
        <v>113</v>
      </c>
      <c r="B12" s="27"/>
      <c r="C12" s="27"/>
      <c r="D12" s="27"/>
      <c r="E12" s="27" t="s">
        <v>114</v>
      </c>
      <c r="F12" s="27" t="s">
        <v>114</v>
      </c>
      <c r="G12" s="27">
        <v>300</v>
      </c>
      <c r="H12" s="27">
        <v>400</v>
      </c>
      <c r="I12" s="27">
        <v>500</v>
      </c>
      <c r="J12" s="27"/>
      <c r="K12" s="27"/>
      <c r="L12" s="27"/>
      <c r="M12" s="27"/>
    </row>
    <row r="13" ht="21" customHeight="1" spans="1:1">
      <c r="A13" t="s">
        <v>117</v>
      </c>
    </row>
    <row r="14" ht="21" customHeight="1" spans="1:1">
      <c r="A14" t="s">
        <v>118</v>
      </c>
    </row>
    <row r="15" ht="21" customHeight="1" spans="1:1">
      <c r="A15" t="s">
        <v>119</v>
      </c>
    </row>
    <row r="16" ht="21" customHeight="1" spans="1:1">
      <c r="A16" t="s">
        <v>120</v>
      </c>
    </row>
    <row r="17" spans="1:1">
      <c r="A17" t="s">
        <v>3</v>
      </c>
    </row>
    <row r="18" spans="1:2">
      <c r="A18" t="s">
        <v>121</v>
      </c>
      <c r="B18" t="s">
        <v>122</v>
      </c>
    </row>
  </sheetData>
  <mergeCells count="10">
    <mergeCell ref="E1:I1"/>
    <mergeCell ref="N1:P1"/>
    <mergeCell ref="A1:A2"/>
    <mergeCell ref="B1:B2"/>
    <mergeCell ref="C1:C2"/>
    <mergeCell ref="D1:D2"/>
    <mergeCell ref="J1:J2"/>
    <mergeCell ref="K1:K2"/>
    <mergeCell ref="L1:L2"/>
    <mergeCell ref="M1:M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绩效4.13</vt:lpstr>
      <vt:lpstr>刘娇</vt:lpstr>
      <vt:lpstr>张鸽</vt:lpstr>
      <vt:lpstr>宋慧</vt:lpstr>
      <vt:lpstr>秦佳琦</vt:lpstr>
      <vt:lpstr>月度奖金评定标准</vt:lpstr>
      <vt:lpstr>年终奖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</dc:creator>
  <cp:lastModifiedBy>Lenovo</cp:lastModifiedBy>
  <dcterms:created xsi:type="dcterms:W3CDTF">2026-03-19T03:15:00Z</dcterms:created>
  <dcterms:modified xsi:type="dcterms:W3CDTF">2026-06-07T07:37:09Z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2A582885BA4844C0998DE3E9C6CFF5E9_13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1</vt:i4>
  </property>
</Properties>
</file>